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"/>
    </mc:Choice>
  </mc:AlternateContent>
  <xr:revisionPtr revIDLastSave="276" documentId="8_{119DDE17-01A0-6A45-B997-FA9B0010FAA2}" xr6:coauthVersionLast="47" xr6:coauthVersionMax="47" xr10:uidLastSave="{78AADAFC-2D95-484C-8544-0D6CA0CD332F}"/>
  <bookViews>
    <workbookView xWindow="-31260" yWindow="2120" windowWidth="28040" windowHeight="17180" activeTab="2" xr2:uid="{D45FF682-6C49-9242-B1D5-804724E0BB99}"/>
  </bookViews>
  <sheets>
    <sheet name="utility" sheetId="1" r:id="rId1"/>
    <sheet name="costs" sheetId="5" r:id="rId2"/>
    <sheet name="starting population" sheetId="2" r:id="rId3"/>
    <sheet name="prop of geriatric patients" sheetId="3" r:id="rId4"/>
    <sheet name="summar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C7" i="5"/>
  <c r="C6" i="5"/>
  <c r="C5" i="5"/>
  <c r="D7" i="1"/>
  <c r="D6" i="1"/>
  <c r="C7" i="1"/>
  <c r="C6" i="1"/>
  <c r="D5" i="1"/>
  <c r="B15" i="2"/>
  <c r="H3" i="2"/>
  <c r="H4" i="2"/>
  <c r="H5" i="2"/>
  <c r="H6" i="2"/>
  <c r="H7" i="2"/>
  <c r="H8" i="2"/>
  <c r="H2" i="2"/>
  <c r="B14" i="2"/>
  <c r="F3" i="2"/>
  <c r="F4" i="2"/>
  <c r="F5" i="2"/>
  <c r="F6" i="2"/>
  <c r="F7" i="2"/>
  <c r="F8" i="2"/>
  <c r="F2" i="2"/>
  <c r="D3" i="2"/>
  <c r="D4" i="2"/>
  <c r="D5" i="2"/>
  <c r="D6" i="2"/>
  <c r="D7" i="2"/>
  <c r="D8" i="2"/>
  <c r="D2" i="2"/>
  <c r="J13" i="4"/>
  <c r="J12" i="4"/>
  <c r="J10" i="4"/>
  <c r="I5" i="4"/>
  <c r="I7" i="4"/>
  <c r="I8" i="4"/>
  <c r="I10" i="4"/>
  <c r="I12" i="4"/>
  <c r="I13" i="4"/>
  <c r="I2" i="4"/>
  <c r="C13" i="4"/>
  <c r="D13" i="4"/>
  <c r="E13" i="4"/>
  <c r="F13" i="4"/>
  <c r="G13" i="4"/>
  <c r="H13" i="4"/>
  <c r="B13" i="4"/>
  <c r="C12" i="4"/>
  <c r="D12" i="4"/>
  <c r="E12" i="4"/>
  <c r="F12" i="4"/>
  <c r="G12" i="4"/>
  <c r="H12" i="4"/>
  <c r="B12" i="4"/>
  <c r="C10" i="4"/>
  <c r="D10" i="4"/>
  <c r="E10" i="4"/>
  <c r="F10" i="4"/>
  <c r="G10" i="4"/>
  <c r="H10" i="4"/>
  <c r="B10" i="4"/>
  <c r="C8" i="4"/>
  <c r="D8" i="4"/>
  <c r="E8" i="4"/>
  <c r="F8" i="4"/>
  <c r="G8" i="4"/>
  <c r="H8" i="4"/>
  <c r="B8" i="4"/>
  <c r="G7" i="4"/>
  <c r="H7" i="4"/>
  <c r="C7" i="4"/>
  <c r="D7" i="4"/>
  <c r="E7" i="4"/>
  <c r="F7" i="4"/>
  <c r="B7" i="4"/>
  <c r="C5" i="4"/>
  <c r="D5" i="4"/>
  <c r="E5" i="4"/>
  <c r="F5" i="4"/>
  <c r="G5" i="4"/>
  <c r="H5" i="4"/>
  <c r="B5" i="4"/>
</calcChain>
</file>

<file path=xl/sharedStrings.xml><?xml version="1.0" encoding="utf-8"?>
<sst xmlns="http://schemas.openxmlformats.org/spreadsheetml/2006/main" count="94" uniqueCount="50">
  <si>
    <t>https://link.springer.com/article/10.1007/s11136-024-03689-x#Sec9</t>
  </si>
  <si>
    <t>Age</t>
  </si>
  <si>
    <t>60-64</t>
  </si>
  <si>
    <t>65-69</t>
  </si>
  <si>
    <t>70-74</t>
  </si>
  <si>
    <t>75-79</t>
  </si>
  <si>
    <t>80-84</t>
  </si>
  <si>
    <t>85-89</t>
  </si>
  <si>
    <t>90+</t>
  </si>
  <si>
    <t>Proportion of no malnutrition</t>
  </si>
  <si>
    <t>Proportion of at risk of malnutrition</t>
  </si>
  <si>
    <t>Proportion of malnourished</t>
  </si>
  <si>
    <t>Number of inhabitants in Sweden in 2026</t>
  </si>
  <si>
    <t>Proportion of people admitted to geriatric inpatient care in Sweden in 2024</t>
  </si>
  <si>
    <t>Prevalence of at risk of malnutrition in healthy population</t>
  </si>
  <si>
    <t>Prevalence of being malnourished in healthy population</t>
  </si>
  <si>
    <t>Prevalence of at risk of malnutrition in in-patient geriatric patients</t>
  </si>
  <si>
    <t>Prevalence of being malnourished in in-patient geriatric patients</t>
  </si>
  <si>
    <t>Nutritional status</t>
  </si>
  <si>
    <t>Proportion of geriatric patients</t>
  </si>
  <si>
    <t>Normal malnutrition</t>
  </si>
  <si>
    <t>At risk of malnutrition</t>
  </si>
  <si>
    <t>Malnourished</t>
  </si>
  <si>
    <t>Number of people at risk of malnutrition in healthy population</t>
  </si>
  <si>
    <t>Number of people being malnourished in healthy population</t>
  </si>
  <si>
    <t>Number of people at risk of malnutrition in in-patient geriatric patients</t>
  </si>
  <si>
    <t>Number of people being malnourished in in-patient geriatric patients</t>
  </si>
  <si>
    <t>Number of people with normal nutrition in healthy population</t>
  </si>
  <si>
    <t>Number of people with normal nutrition in healthy population in-patient geriatric patients</t>
  </si>
  <si>
    <t>sum</t>
  </si>
  <si>
    <t>Proportion of geriatric patients in each nutritional status</t>
  </si>
  <si>
    <t>Proportion of malnutritional status in the target population</t>
  </si>
  <si>
    <t>Propotion of age group in the starting population</t>
  </si>
  <si>
    <t>Propotion of age group and no malnutrition in the starting population</t>
  </si>
  <si>
    <t>Propotion of age group and at risk of malnutrition in the starting population</t>
  </si>
  <si>
    <t>State</t>
  </si>
  <si>
    <t>Source</t>
  </si>
  <si>
    <t>Population</t>
  </si>
  <si>
    <t xml:space="preserve">Healthy </t>
  </si>
  <si>
    <t>Geriatric patients</t>
  </si>
  <si>
    <t>Utility</t>
  </si>
  <si>
    <t>SNAC-K</t>
  </si>
  <si>
    <t>Note</t>
  </si>
  <si>
    <t>Disutility compared with healthy older adults without malnutrition</t>
  </si>
  <si>
    <t>Utility value at discharge in control arm</t>
  </si>
  <si>
    <t>Yearly costs</t>
  </si>
  <si>
    <t>Currency</t>
  </si>
  <si>
    <t>Year</t>
  </si>
  <si>
    <t>SEK</t>
  </si>
  <si>
    <t>Calculated from 6-month costs, assume the second 6-month costs are the same as the first 6 months but without initial geriatric admission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</si>
</sst>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0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1F92-3C2E-1747-B2CA-BB286883117A}">
  <dimension ref="A1:F17"/>
  <sheetViews>
    <sheetView zoomScale="192" zoomScaleNormal="100" workbookViewId="0">
      <selection activeCell="B12" sqref="B12"/>
    </sheetView>
  </sheetViews>
  <sheetFormatPr baseColWidth="10" defaultRowHeight="16" x14ac:dyDescent="0.2"/>
  <cols>
    <col min="1" max="1" width="17" style="3" customWidth="1"/>
    <col min="2" max="2" width="20.6640625" style="3" customWidth="1"/>
    <col min="3" max="3" width="10.83203125" style="3"/>
    <col min="4" max="4" width="22.5" style="1" customWidth="1"/>
    <col min="5" max="5" width="10.83203125" style="3"/>
  </cols>
  <sheetData>
    <row r="1" spans="1:6" ht="51" x14ac:dyDescent="0.2">
      <c r="A1" s="3" t="s">
        <v>37</v>
      </c>
      <c r="B1" s="3" t="s">
        <v>35</v>
      </c>
      <c r="C1" s="3" t="s">
        <v>40</v>
      </c>
      <c r="D1" s="1" t="s">
        <v>43</v>
      </c>
      <c r="E1" s="3" t="s">
        <v>36</v>
      </c>
      <c r="F1" s="3" t="s">
        <v>42</v>
      </c>
    </row>
    <row r="2" spans="1:6" x14ac:dyDescent="0.2">
      <c r="A2" s="3" t="s">
        <v>38</v>
      </c>
      <c r="B2" s="3" t="s">
        <v>20</v>
      </c>
      <c r="C2" s="13">
        <v>0.78300000000000003</v>
      </c>
      <c r="D2" s="16">
        <v>0</v>
      </c>
      <c r="E2" s="3" t="s">
        <v>41</v>
      </c>
    </row>
    <row r="3" spans="1:6" x14ac:dyDescent="0.2">
      <c r="A3" s="3" t="s">
        <v>38</v>
      </c>
      <c r="B3" s="3" t="s">
        <v>21</v>
      </c>
      <c r="C3" s="13">
        <v>0.75700000000000001</v>
      </c>
      <c r="D3" s="15">
        <v>2.7E-2</v>
      </c>
      <c r="E3" s="3" t="s">
        <v>41</v>
      </c>
    </row>
    <row r="4" spans="1:6" x14ac:dyDescent="0.2">
      <c r="A4" s="3" t="s">
        <v>38</v>
      </c>
      <c r="B4" s="3" t="s">
        <v>22</v>
      </c>
      <c r="C4" s="13">
        <v>0.72</v>
      </c>
      <c r="D4" s="15">
        <v>6.3E-2</v>
      </c>
      <c r="E4" s="3" t="s">
        <v>41</v>
      </c>
    </row>
    <row r="5" spans="1:6" ht="17" x14ac:dyDescent="0.2">
      <c r="A5" s="3" t="s">
        <v>39</v>
      </c>
      <c r="B5" s="3" t="s">
        <v>20</v>
      </c>
      <c r="C5" s="13">
        <v>0.47199999999999998</v>
      </c>
      <c r="D5" s="15">
        <f>C2-C5</f>
        <v>0.31100000000000005</v>
      </c>
      <c r="E5" s="14" t="s">
        <v>0</v>
      </c>
      <c r="F5" t="s">
        <v>44</v>
      </c>
    </row>
    <row r="6" spans="1:6" x14ac:dyDescent="0.2">
      <c r="A6" s="3" t="s">
        <v>39</v>
      </c>
      <c r="B6" s="3" t="s">
        <v>21</v>
      </c>
      <c r="C6" s="13">
        <f>C5-D3</f>
        <v>0.44499999999999995</v>
      </c>
      <c r="D6" s="15">
        <f>C2-C6</f>
        <v>0.33800000000000008</v>
      </c>
    </row>
    <row r="7" spans="1:6" x14ac:dyDescent="0.2">
      <c r="A7" s="3" t="s">
        <v>39</v>
      </c>
      <c r="B7" s="3" t="s">
        <v>22</v>
      </c>
      <c r="C7" s="13">
        <f>C5-D4</f>
        <v>0.40899999999999997</v>
      </c>
      <c r="D7" s="15">
        <f>C2-C7</f>
        <v>0.37400000000000005</v>
      </c>
    </row>
    <row r="9" spans="1:6" x14ac:dyDescent="0.2">
      <c r="C9" s="13"/>
    </row>
    <row r="10" spans="1:6" x14ac:dyDescent="0.2">
      <c r="C10" s="13"/>
    </row>
    <row r="11" spans="1:6" x14ac:dyDescent="0.2">
      <c r="C11" s="13"/>
    </row>
    <row r="12" spans="1:6" x14ac:dyDescent="0.2">
      <c r="C12" s="13"/>
    </row>
    <row r="13" spans="1:6" x14ac:dyDescent="0.2">
      <c r="C13" s="13"/>
    </row>
    <row r="14" spans="1:6" x14ac:dyDescent="0.2">
      <c r="C14" s="13"/>
    </row>
    <row r="15" spans="1:6" x14ac:dyDescent="0.2">
      <c r="C15" s="13"/>
    </row>
    <row r="16" spans="1:6" x14ac:dyDescent="0.2">
      <c r="C16" s="13"/>
    </row>
    <row r="17" spans="3:3" x14ac:dyDescent="0.2">
      <c r="C1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B0F0-D995-9B4C-9C28-6A3A13B5B2DD}">
  <dimension ref="A1:F7"/>
  <sheetViews>
    <sheetView zoomScale="133" workbookViewId="0">
      <selection activeCell="C7" sqref="C7"/>
    </sheetView>
  </sheetViews>
  <sheetFormatPr baseColWidth="10" defaultRowHeight="16" x14ac:dyDescent="0.2"/>
  <cols>
    <col min="1" max="1" width="17" style="3" customWidth="1"/>
    <col min="2" max="2" width="20.6640625" style="3" customWidth="1"/>
    <col min="3" max="3" width="24.1640625" style="3" customWidth="1"/>
    <col min="4" max="5" width="10.83203125" style="3"/>
    <col min="6" max="6" width="29.6640625" customWidth="1"/>
  </cols>
  <sheetData>
    <row r="1" spans="1:6" x14ac:dyDescent="0.2">
      <c r="A1" s="3" t="s">
        <v>37</v>
      </c>
      <c r="B1" s="3" t="s">
        <v>35</v>
      </c>
      <c r="C1" s="3" t="s">
        <v>45</v>
      </c>
      <c r="D1" s="3" t="s">
        <v>46</v>
      </c>
      <c r="E1" s="3" t="s">
        <v>47</v>
      </c>
      <c r="F1" s="3" t="s">
        <v>42</v>
      </c>
    </row>
    <row r="2" spans="1:6" x14ac:dyDescent="0.2">
      <c r="A2" s="3" t="s">
        <v>38</v>
      </c>
      <c r="B2" s="3" t="s">
        <v>20</v>
      </c>
      <c r="C2" s="3">
        <v>27546</v>
      </c>
      <c r="D2" s="3" t="s">
        <v>48</v>
      </c>
      <c r="E2" s="3">
        <v>2024</v>
      </c>
    </row>
    <row r="3" spans="1:6" x14ac:dyDescent="0.2">
      <c r="A3" s="3" t="s">
        <v>38</v>
      </c>
      <c r="B3" s="3" t="s">
        <v>21</v>
      </c>
      <c r="C3" s="3">
        <v>29894</v>
      </c>
      <c r="D3" s="3" t="s">
        <v>48</v>
      </c>
      <c r="E3" s="3">
        <v>2024</v>
      </c>
    </row>
    <row r="4" spans="1:6" x14ac:dyDescent="0.2">
      <c r="A4" s="3" t="s">
        <v>38</v>
      </c>
      <c r="B4" s="3" t="s">
        <v>22</v>
      </c>
      <c r="C4" s="3">
        <v>30220</v>
      </c>
      <c r="D4" s="3" t="s">
        <v>48</v>
      </c>
      <c r="E4" s="3">
        <v>2024</v>
      </c>
    </row>
    <row r="5" spans="1:6" x14ac:dyDescent="0.2">
      <c r="A5" s="3" t="s">
        <v>39</v>
      </c>
      <c r="B5" s="3" t="s">
        <v>20</v>
      </c>
      <c r="C5" s="3">
        <f>328828+328828-60822</f>
        <v>596834</v>
      </c>
      <c r="D5" s="3" t="s">
        <v>48</v>
      </c>
      <c r="E5" s="3">
        <v>2024</v>
      </c>
      <c r="F5" s="3" t="s">
        <v>49</v>
      </c>
    </row>
    <row r="6" spans="1:6" x14ac:dyDescent="0.2">
      <c r="A6" s="3" t="s">
        <v>39</v>
      </c>
      <c r="B6" s="3" t="s">
        <v>21</v>
      </c>
      <c r="C6" s="3">
        <f>388039+388039-63952</f>
        <v>712126</v>
      </c>
      <c r="D6" s="3" t="s">
        <v>48</v>
      </c>
      <c r="E6" s="3">
        <v>2024</v>
      </c>
    </row>
    <row r="7" spans="1:6" x14ac:dyDescent="0.2">
      <c r="A7" s="3" t="s">
        <v>39</v>
      </c>
      <c r="B7" s="3" t="s">
        <v>22</v>
      </c>
      <c r="C7" s="3">
        <f>414913+414913-68603</f>
        <v>761223</v>
      </c>
      <c r="D7" s="3" t="s">
        <v>48</v>
      </c>
      <c r="E7" s="3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9A33-382D-9642-9B0F-F8757C11D8DE}">
  <dimension ref="A1:H15"/>
  <sheetViews>
    <sheetView tabSelected="1" zoomScale="150" workbookViewId="0">
      <selection activeCell="B18" sqref="B18"/>
    </sheetView>
  </sheetViews>
  <sheetFormatPr baseColWidth="10" defaultRowHeight="16" x14ac:dyDescent="0.2"/>
  <cols>
    <col min="1" max="1" width="25" style="11" customWidth="1"/>
    <col min="2" max="2" width="19.1640625" style="3" customWidth="1"/>
    <col min="3" max="4" width="21.6640625" style="4" customWidth="1"/>
    <col min="5" max="6" width="19.1640625" style="4" customWidth="1"/>
    <col min="7" max="7" width="16.83203125" style="4" customWidth="1"/>
    <col min="8" max="8" width="21.33203125" customWidth="1"/>
  </cols>
  <sheetData>
    <row r="1" spans="1:8" ht="68" x14ac:dyDescent="0.2">
      <c r="A1" s="12" t="s">
        <v>1</v>
      </c>
      <c r="B1" s="1" t="s">
        <v>32</v>
      </c>
      <c r="C1" s="4" t="s">
        <v>9</v>
      </c>
      <c r="D1" s="4" t="s">
        <v>33</v>
      </c>
      <c r="E1" s="4" t="s">
        <v>10</v>
      </c>
      <c r="F1" s="4" t="s">
        <v>34</v>
      </c>
      <c r="G1" s="4" t="s">
        <v>11</v>
      </c>
      <c r="H1" s="4" t="s">
        <v>34</v>
      </c>
    </row>
    <row r="2" spans="1:8" x14ac:dyDescent="0.2">
      <c r="A2" s="11" t="s">
        <v>2</v>
      </c>
      <c r="B2" s="3">
        <v>0.21816960646168201</v>
      </c>
      <c r="C2" s="3">
        <v>0.75814720000000002</v>
      </c>
      <c r="D2" s="3">
        <f>B2*C2</f>
        <v>0.16540467626402613</v>
      </c>
      <c r="E2" s="3">
        <v>0.2335072</v>
      </c>
      <c r="F2" s="3">
        <f>B2*E2</f>
        <v>5.0944173929969271E-2</v>
      </c>
      <c r="G2" s="3">
        <v>8.3455999999999999E-3</v>
      </c>
      <c r="H2">
        <f>B2*G2</f>
        <v>1.8207562676866133E-3</v>
      </c>
    </row>
    <row r="3" spans="1:8" x14ac:dyDescent="0.2">
      <c r="A3" s="11" t="s">
        <v>3</v>
      </c>
      <c r="B3" s="3">
        <v>0.18550650386437789</v>
      </c>
      <c r="C3" s="3">
        <v>0.75670809999999999</v>
      </c>
      <c r="D3" s="3">
        <f>B3*C3</f>
        <v>0.14037427407685604</v>
      </c>
      <c r="E3" s="3">
        <v>0.23436310000000002</v>
      </c>
      <c r="F3" s="3">
        <f t="shared" ref="F3:F8" si="0">B3*E3</f>
        <v>4.3475879315817582E-2</v>
      </c>
      <c r="G3" s="3">
        <v>8.9288000000000006E-3</v>
      </c>
      <c r="H3">
        <f t="shared" ref="H3:H8" si="1">B3*G3</f>
        <v>1.6563504717042575E-3</v>
      </c>
    </row>
    <row r="4" spans="1:8" x14ac:dyDescent="0.2">
      <c r="A4" s="11" t="s">
        <v>4</v>
      </c>
      <c r="B4" s="4">
        <v>0.17242863817793605</v>
      </c>
      <c r="C4" s="4">
        <v>0.75405560000000005</v>
      </c>
      <c r="D4" s="3">
        <f>B4*C4</f>
        <v>0.13002078021844649</v>
      </c>
      <c r="E4" s="4">
        <v>0.23581060000000001</v>
      </c>
      <c r="F4" s="3">
        <f t="shared" si="0"/>
        <v>4.0660500625922011E-2</v>
      </c>
      <c r="G4" s="4">
        <v>1.0133800000000002E-2</v>
      </c>
      <c r="H4">
        <f t="shared" si="1"/>
        <v>1.7473573335675687E-3</v>
      </c>
    </row>
    <row r="5" spans="1:8" x14ac:dyDescent="0.2">
      <c r="A5" s="11" t="s">
        <v>5</v>
      </c>
      <c r="B5" s="4">
        <v>0.16528135095751939</v>
      </c>
      <c r="C5" s="4">
        <v>0.57841759999999998</v>
      </c>
      <c r="D5" s="3">
        <f>B5*C5</f>
        <v>9.5601642345606058E-2</v>
      </c>
      <c r="E5" s="4">
        <v>0.3514408</v>
      </c>
      <c r="F5" s="3">
        <f t="shared" si="0"/>
        <v>5.8086610205591381E-2</v>
      </c>
      <c r="G5" s="4">
        <v>7.0141599999999998E-2</v>
      </c>
      <c r="H5">
        <f t="shared" si="1"/>
        <v>1.1593098406321941E-2</v>
      </c>
    </row>
    <row r="6" spans="1:8" x14ac:dyDescent="0.2">
      <c r="A6" s="11" t="s">
        <v>6</v>
      </c>
      <c r="B6" s="4">
        <v>0.13991582900349114</v>
      </c>
      <c r="C6" s="4">
        <v>0.57217519999999999</v>
      </c>
      <c r="D6" s="3">
        <f>B6*C6</f>
        <v>8.0056367443238338E-2</v>
      </c>
      <c r="E6" s="4">
        <v>0.35459279999999999</v>
      </c>
      <c r="F6" s="3">
        <f t="shared" si="0"/>
        <v>4.9613145570669134E-2</v>
      </c>
      <c r="G6" s="4">
        <v>7.3231999999999992E-2</v>
      </c>
      <c r="H6">
        <f t="shared" si="1"/>
        <v>1.0246315989583662E-2</v>
      </c>
    </row>
    <row r="7" spans="1:8" x14ac:dyDescent="0.2">
      <c r="A7" s="11" t="s">
        <v>7</v>
      </c>
      <c r="B7" s="3">
        <v>7.4113694636495323E-2</v>
      </c>
      <c r="C7" s="3">
        <v>0.5625175</v>
      </c>
      <c r="D7" s="3">
        <f>B7*C7</f>
        <v>4.1690250222684758E-2</v>
      </c>
      <c r="E7" s="3">
        <v>0.35955750000000003</v>
      </c>
      <c r="F7" s="3">
        <f t="shared" si="0"/>
        <v>2.6648134759261668E-2</v>
      </c>
      <c r="G7" s="3">
        <v>7.7925000000000008E-2</v>
      </c>
      <c r="H7">
        <f t="shared" si="1"/>
        <v>5.7753096545488988E-3</v>
      </c>
    </row>
    <row r="8" spans="1:8" x14ac:dyDescent="0.2">
      <c r="A8" s="11" t="s">
        <v>8</v>
      </c>
      <c r="B8" s="3">
        <v>4.4584376898498167E-2</v>
      </c>
      <c r="C8" s="3">
        <v>0.54914529999999995</v>
      </c>
      <c r="D8" s="3">
        <f>B8*C8</f>
        <v>2.4483301027238842E-2</v>
      </c>
      <c r="E8" s="3">
        <v>0.36643170000000003</v>
      </c>
      <c r="F8" s="3">
        <f t="shared" si="0"/>
        <v>1.6337129020357413E-2</v>
      </c>
      <c r="G8" s="3">
        <v>8.4422999999999998E-2</v>
      </c>
      <c r="H8">
        <f t="shared" si="1"/>
        <v>3.7639468509019108E-3</v>
      </c>
    </row>
    <row r="9" spans="1:8" x14ac:dyDescent="0.2">
      <c r="D9" s="3"/>
    </row>
    <row r="12" spans="1:8" ht="51" x14ac:dyDescent="0.2">
      <c r="A12" s="12" t="s">
        <v>31</v>
      </c>
    </row>
    <row r="13" spans="1:8" x14ac:dyDescent="0.2">
      <c r="A13" s="3" t="s">
        <v>20</v>
      </c>
      <c r="B13" s="17">
        <f>SUM(D2:D8)</f>
        <v>0.67763129159809665</v>
      </c>
    </row>
    <row r="14" spans="1:8" x14ac:dyDescent="0.2">
      <c r="A14" s="3" t="s">
        <v>21</v>
      </c>
      <c r="B14" s="17">
        <f>SUM(F2:F8)</f>
        <v>0.2857655734275884</v>
      </c>
    </row>
    <row r="15" spans="1:8" x14ac:dyDescent="0.2">
      <c r="A15" s="3" t="s">
        <v>22</v>
      </c>
      <c r="B15" s="17">
        <f>SUM(H2:H8)</f>
        <v>3.6603134974314853E-2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8106-AC85-6845-8B7D-513D401555B7}">
  <dimension ref="A1:B4"/>
  <sheetViews>
    <sheetView zoomScale="167" workbookViewId="0">
      <selection activeCell="A2" sqref="A2:A4"/>
    </sheetView>
  </sheetViews>
  <sheetFormatPr baseColWidth="10" defaultRowHeight="16" x14ac:dyDescent="0.2"/>
  <cols>
    <col min="1" max="1" width="19.33203125" style="3" customWidth="1"/>
    <col min="2" max="2" width="28.5" style="3" customWidth="1"/>
  </cols>
  <sheetData>
    <row r="1" spans="1:2" x14ac:dyDescent="0.2">
      <c r="A1" s="3" t="s">
        <v>18</v>
      </c>
      <c r="B1" s="3" t="s">
        <v>19</v>
      </c>
    </row>
    <row r="2" spans="1:2" x14ac:dyDescent="0.2">
      <c r="A2" s="3" t="s">
        <v>20</v>
      </c>
      <c r="B2" s="3">
        <v>0.01</v>
      </c>
    </row>
    <row r="3" spans="1:2" x14ac:dyDescent="0.2">
      <c r="A3" s="3" t="s">
        <v>21</v>
      </c>
      <c r="B3" s="3">
        <v>0.04</v>
      </c>
    </row>
    <row r="4" spans="1:2" x14ac:dyDescent="0.2">
      <c r="A4" s="3" t="s">
        <v>22</v>
      </c>
      <c r="B4" s="3">
        <v>0.13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2109-8102-6E44-92B1-2E06B8137114}">
  <dimension ref="A1:J13"/>
  <sheetViews>
    <sheetView zoomScale="150" workbookViewId="0">
      <selection activeCell="A10" sqref="A10:XFD10"/>
    </sheetView>
  </sheetViews>
  <sheetFormatPr baseColWidth="10" defaultRowHeight="16" x14ac:dyDescent="0.2"/>
  <cols>
    <col min="1" max="1" width="41.5" customWidth="1"/>
    <col min="2" max="8" width="10.83203125" style="3"/>
    <col min="9" max="9" width="10.83203125" style="7"/>
    <col min="10" max="10" width="45.1640625" style="10" customWidth="1"/>
  </cols>
  <sheetData>
    <row r="1" spans="1:10" ht="1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6" t="s">
        <v>29</v>
      </c>
      <c r="J1" s="9" t="s">
        <v>30</v>
      </c>
    </row>
    <row r="2" spans="1:10" ht="17" x14ac:dyDescent="0.2">
      <c r="A2" s="1" t="s">
        <v>12</v>
      </c>
      <c r="B2" s="2">
        <v>653231</v>
      </c>
      <c r="C2" s="2">
        <v>555433</v>
      </c>
      <c r="D2" s="2">
        <v>516276</v>
      </c>
      <c r="E2" s="2">
        <v>494876</v>
      </c>
      <c r="F2" s="2">
        <v>418928</v>
      </c>
      <c r="G2" s="2">
        <v>221907</v>
      </c>
      <c r="H2" s="2">
        <v>133492</v>
      </c>
      <c r="I2" s="7">
        <f>SUM(B2:H2)</f>
        <v>2994143</v>
      </c>
    </row>
    <row r="3" spans="1:10" ht="34" x14ac:dyDescent="0.2">
      <c r="A3" s="1" t="s">
        <v>13</v>
      </c>
      <c r="B3" s="5">
        <v>1.6000000000000001E-3</v>
      </c>
      <c r="C3" s="5">
        <v>4.3E-3</v>
      </c>
      <c r="D3" s="5">
        <v>9.4000000000000004E-3</v>
      </c>
      <c r="E3" s="5">
        <v>1.8700000000000001E-2</v>
      </c>
      <c r="F3" s="5">
        <v>3.2800000000000003E-2</v>
      </c>
      <c r="G3" s="5">
        <v>5.7500000000000002E-2</v>
      </c>
      <c r="H3" s="5">
        <v>9.1700000000000004E-2</v>
      </c>
    </row>
    <row r="4" spans="1:10" ht="34" x14ac:dyDescent="0.2">
      <c r="A4" s="1" t="s">
        <v>14</v>
      </c>
      <c r="B4" s="2">
        <v>0.23300000000000001</v>
      </c>
      <c r="C4" s="2">
        <v>0.23300000000000001</v>
      </c>
      <c r="D4" s="2">
        <v>0.23300000000000001</v>
      </c>
      <c r="E4" s="2">
        <v>0.34799999999999998</v>
      </c>
      <c r="F4" s="2">
        <v>0.34799999999999998</v>
      </c>
      <c r="G4" s="2">
        <v>0.34799999999999998</v>
      </c>
      <c r="H4" s="2">
        <v>0.34799999999999998</v>
      </c>
    </row>
    <row r="5" spans="1:10" ht="34" x14ac:dyDescent="0.2">
      <c r="A5" s="1" t="s">
        <v>23</v>
      </c>
      <c r="B5" s="6">
        <f>B2*(1-B3)*B4</f>
        <v>151959.29848319999</v>
      </c>
      <c r="C5" s="6">
        <f t="shared" ref="C5:H5" si="0">C2*(1-C3)*C4</f>
        <v>128859.4006773</v>
      </c>
      <c r="D5" s="6">
        <f t="shared" si="0"/>
        <v>119161.56030480002</v>
      </c>
      <c r="E5" s="6">
        <f t="shared" si="0"/>
        <v>168996.39294239998</v>
      </c>
      <c r="F5" s="6">
        <f t="shared" si="0"/>
        <v>141005.13223679998</v>
      </c>
      <c r="G5" s="6">
        <f t="shared" si="0"/>
        <v>72783.276929999993</v>
      </c>
      <c r="H5" s="6">
        <f t="shared" si="0"/>
        <v>42195.272692799997</v>
      </c>
      <c r="I5" s="7">
        <f t="shared" ref="I3:I13" si="1">SUM(B5:H5)</f>
        <v>824960.33426729986</v>
      </c>
    </row>
    <row r="6" spans="1:10" ht="34" x14ac:dyDescent="0.2">
      <c r="A6" s="1" t="s">
        <v>15</v>
      </c>
      <c r="B6" s="2">
        <v>8.0000000000000002E-3</v>
      </c>
      <c r="C6" s="2">
        <v>8.0000000000000002E-3</v>
      </c>
      <c r="D6" s="2">
        <v>8.0000000000000002E-3</v>
      </c>
      <c r="E6" s="2">
        <v>6.7000000000000004E-2</v>
      </c>
      <c r="F6" s="2">
        <v>6.7000000000000004E-2</v>
      </c>
      <c r="G6" s="2">
        <v>6.7000000000000004E-2</v>
      </c>
      <c r="H6" s="2">
        <v>6.7000000000000004E-2</v>
      </c>
    </row>
    <row r="7" spans="1:10" ht="34" x14ac:dyDescent="0.2">
      <c r="A7" s="1" t="s">
        <v>24</v>
      </c>
      <c r="B7" s="6">
        <f>B2*(1-B3)*B6</f>
        <v>5217.4866431999999</v>
      </c>
      <c r="C7" s="6">
        <f t="shared" ref="C7:F7" si="2">C2*(1-C3)*C6</f>
        <v>4424.3571048000003</v>
      </c>
      <c r="D7" s="6">
        <f t="shared" si="2"/>
        <v>4091.3840448000005</v>
      </c>
      <c r="E7" s="6">
        <f t="shared" si="2"/>
        <v>32536.661859599997</v>
      </c>
      <c r="F7" s="6">
        <f t="shared" si="2"/>
        <v>27147.539827200002</v>
      </c>
      <c r="G7" s="6">
        <f>G2*(1-G3)*G6</f>
        <v>14012.8722825</v>
      </c>
      <c r="H7" s="6">
        <f t="shared" ref="H7" si="3">H2*(1-H3)*H6</f>
        <v>8123.8025011999998</v>
      </c>
      <c r="I7" s="7">
        <f t="shared" si="1"/>
        <v>95554.104263300003</v>
      </c>
    </row>
    <row r="8" spans="1:10" ht="34" x14ac:dyDescent="0.2">
      <c r="A8" s="1" t="s">
        <v>27</v>
      </c>
      <c r="B8" s="6">
        <f>B2*(1-B3)*(1-B4-B6)</f>
        <v>495009.04527359997</v>
      </c>
      <c r="C8" s="6">
        <f t="shared" ref="C8:H8" si="4">C2*(1-C3)*(1-C4-C6)</f>
        <v>419760.88031789998</v>
      </c>
      <c r="D8" s="6">
        <f t="shared" si="4"/>
        <v>388170.06125040003</v>
      </c>
      <c r="E8" s="6">
        <f t="shared" si="4"/>
        <v>284088.76399799995</v>
      </c>
      <c r="F8" s="6">
        <f t="shared" si="4"/>
        <v>237034.48953599998</v>
      </c>
      <c r="G8" s="6">
        <f t="shared" si="4"/>
        <v>122351.1982875</v>
      </c>
      <c r="H8" s="6">
        <f t="shared" si="4"/>
        <v>70931.708405999991</v>
      </c>
      <c r="I8" s="7">
        <f t="shared" si="1"/>
        <v>2017346.1470693999</v>
      </c>
    </row>
    <row r="9" spans="1:10" ht="34" x14ac:dyDescent="0.2">
      <c r="A9" s="1" t="s">
        <v>16</v>
      </c>
      <c r="B9" s="2">
        <v>0.55000000000000004</v>
      </c>
      <c r="C9" s="2">
        <v>0.55000000000000004</v>
      </c>
      <c r="D9" s="2">
        <v>0.53200000000000003</v>
      </c>
      <c r="E9" s="2">
        <v>0.53200000000000003</v>
      </c>
      <c r="F9" s="2">
        <v>0.54900000000000004</v>
      </c>
      <c r="G9" s="2">
        <v>0.54900000000000004</v>
      </c>
      <c r="H9" s="2">
        <v>0.54900000000000004</v>
      </c>
    </row>
    <row r="10" spans="1:10" ht="34" x14ac:dyDescent="0.2">
      <c r="A10" s="1" t="s">
        <v>25</v>
      </c>
      <c r="B10" s="6">
        <f>B2*B3*B9</f>
        <v>574.84328000000005</v>
      </c>
      <c r="C10" s="6">
        <f t="shared" ref="C10:H10" si="5">C2*C3*C9</f>
        <v>1313.5990449999999</v>
      </c>
      <c r="D10" s="6">
        <f t="shared" si="5"/>
        <v>2581.7930208000002</v>
      </c>
      <c r="E10" s="6">
        <f t="shared" si="5"/>
        <v>4923.2243984000006</v>
      </c>
      <c r="F10" s="6">
        <f t="shared" si="5"/>
        <v>7543.7202816000008</v>
      </c>
      <c r="G10" s="6">
        <f t="shared" si="5"/>
        <v>7005.0492225000007</v>
      </c>
      <c r="H10" s="6">
        <f t="shared" si="5"/>
        <v>6720.4278036000014</v>
      </c>
      <c r="I10" s="7">
        <f t="shared" si="1"/>
        <v>30662.657051900002</v>
      </c>
      <c r="J10" s="9">
        <f>I10/(I10+I5)</f>
        <v>3.5836644600473283E-2</v>
      </c>
    </row>
    <row r="11" spans="1:10" ht="34" x14ac:dyDescent="0.2">
      <c r="A11" s="1" t="s">
        <v>17</v>
      </c>
      <c r="B11" s="2">
        <v>0.224</v>
      </c>
      <c r="C11" s="2">
        <v>0.224</v>
      </c>
      <c r="D11" s="2">
        <v>0.23499999999999999</v>
      </c>
      <c r="E11" s="2">
        <v>0.23499999999999999</v>
      </c>
      <c r="F11" s="2">
        <v>0.25700000000000001</v>
      </c>
      <c r="G11" s="2">
        <v>0.25700000000000001</v>
      </c>
      <c r="H11" s="2">
        <v>0.25700000000000001</v>
      </c>
    </row>
    <row r="12" spans="1:10" ht="34" x14ac:dyDescent="0.2">
      <c r="A12" s="1" t="s">
        <v>26</v>
      </c>
      <c r="B12" s="8">
        <f>B2*B3*B11</f>
        <v>234.1179904</v>
      </c>
      <c r="C12" s="8">
        <f t="shared" ref="C12:H12" si="6">C2*C3*C11</f>
        <v>534.99306560000002</v>
      </c>
      <c r="D12" s="8">
        <f t="shared" si="6"/>
        <v>1140.4536840000001</v>
      </c>
      <c r="E12" s="8">
        <f t="shared" si="6"/>
        <v>2174.7325820000001</v>
      </c>
      <c r="F12" s="8">
        <f t="shared" si="6"/>
        <v>3531.3954688000003</v>
      </c>
      <c r="G12" s="8">
        <f t="shared" si="6"/>
        <v>3279.2306925000003</v>
      </c>
      <c r="H12" s="8">
        <f t="shared" si="6"/>
        <v>3145.9926148000004</v>
      </c>
      <c r="I12" s="7">
        <f t="shared" si="1"/>
        <v>14040.916098100002</v>
      </c>
      <c r="J12" s="10">
        <f>I12/(I12+I7)</f>
        <v>0.12811636926384745</v>
      </c>
    </row>
    <row r="13" spans="1:10" ht="34" x14ac:dyDescent="0.2">
      <c r="A13" s="1" t="s">
        <v>28</v>
      </c>
      <c r="B13" s="8">
        <f>B2*B3*(1-B9-B11)</f>
        <v>236.20832959999993</v>
      </c>
      <c r="C13" s="8">
        <f t="shared" ref="C13:H13" si="7">C2*C3*(1-C9-C11)</f>
        <v>539.76978939999981</v>
      </c>
      <c r="D13" s="8">
        <f t="shared" si="7"/>
        <v>1130.7476952</v>
      </c>
      <c r="E13" s="8">
        <f t="shared" si="7"/>
        <v>2156.2242196000002</v>
      </c>
      <c r="F13" s="8">
        <f t="shared" si="7"/>
        <v>2665.7226495999994</v>
      </c>
      <c r="G13" s="8">
        <f t="shared" si="7"/>
        <v>2475.3725849999996</v>
      </c>
      <c r="H13" s="8">
        <f t="shared" si="7"/>
        <v>2374.7959815999998</v>
      </c>
      <c r="I13" s="7">
        <f t="shared" si="1"/>
        <v>11578.841249999999</v>
      </c>
      <c r="J13" s="10">
        <f>I13/(I13+I8)</f>
        <v>5.7068848363837198E-3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utility</vt:lpstr>
      <vt:lpstr>costs</vt:lpstr>
      <vt:lpstr>starting population</vt:lpstr>
      <vt:lpstr>prop of geriatric patients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Xia</dc:creator>
  <cp:lastModifiedBy>Xin Xia</cp:lastModifiedBy>
  <dcterms:created xsi:type="dcterms:W3CDTF">2026-03-19T16:25:04Z</dcterms:created>
  <dcterms:modified xsi:type="dcterms:W3CDTF">2026-03-21T09:11:29Z</dcterms:modified>
</cp:coreProperties>
</file>