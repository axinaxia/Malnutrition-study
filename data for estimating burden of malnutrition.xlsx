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8" documentId="14_{130AD0D5-5F30-E84E-A9C6-794180183BEC}" xr6:coauthVersionLast="47" xr6:coauthVersionMax="47" xr10:uidLastSave="{AFBCFA54-50CD-8B40-8E99-5BD28B75C868}"/>
  <bookViews>
    <workbookView xWindow="-37820" yWindow="900" windowWidth="29040" windowHeight="15720" activeTab="4" xr2:uid="{B0A9428F-DA01-4C48-A459-BF8309C9A11D}"/>
  </bookViews>
  <sheets>
    <sheet name="geriatric_2024" sheetId="5" r:id="rId1"/>
    <sheet name="sweden_pop_2024" sheetId="6" r:id="rId2"/>
    <sheet name="val_2024" sheetId="7" r:id="rId3"/>
    <sheet name="sweden_pop_2026" sheetId="9" r:id="rId4"/>
    <sheet name="summary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2" l="1"/>
  <c r="D11" i="12"/>
  <c r="E11" i="12"/>
  <c r="F11" i="12"/>
  <c r="G11" i="12"/>
  <c r="H11" i="12"/>
  <c r="B11" i="12"/>
  <c r="C10" i="12"/>
  <c r="D10" i="12"/>
  <c r="E10" i="12"/>
  <c r="F10" i="12"/>
  <c r="G10" i="12"/>
  <c r="H10" i="12"/>
  <c r="B10" i="12"/>
  <c r="C9" i="12"/>
  <c r="D9" i="12"/>
  <c r="E9" i="12"/>
  <c r="F9" i="12"/>
  <c r="G9" i="12"/>
  <c r="H9" i="12"/>
  <c r="B9" i="12"/>
  <c r="C3" i="12"/>
  <c r="D3" i="12"/>
  <c r="E3" i="12"/>
  <c r="F3" i="12"/>
  <c r="G3" i="12"/>
  <c r="H3" i="12"/>
  <c r="B3" i="12"/>
  <c r="E6" i="7"/>
  <c r="F6" i="7"/>
  <c r="G6" i="7"/>
  <c r="H6" i="7"/>
  <c r="B6" i="7"/>
  <c r="C4" i="7"/>
  <c r="C6" i="7" s="1"/>
  <c r="D4" i="7"/>
  <c r="D6" i="7" s="1"/>
  <c r="E4" i="7"/>
  <c r="F4" i="7"/>
  <c r="G4" i="7"/>
  <c r="H4" i="7"/>
  <c r="B4" i="7"/>
  <c r="D19" i="5"/>
  <c r="E19" i="5"/>
  <c r="F19" i="5"/>
  <c r="G19" i="5"/>
  <c r="H19" i="5"/>
  <c r="C19" i="5"/>
  <c r="B19" i="5"/>
  <c r="C4" i="6"/>
  <c r="D4" i="6"/>
  <c r="E4" i="6"/>
  <c r="F4" i="6"/>
  <c r="G4" i="6"/>
  <c r="H4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tc={BA000C09-9E9B-CC43-8CAF-9E89D8616C7B}</author>
  </authors>
  <commentList>
    <comment ref="A1" authorId="0" shapeId="0" xr:uid="{BA000C09-9E9B-CC43-8CAF-9E89D8616C7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https://www.statistikdatabasen.scb.se/pxweb/en/ssd/START__BE__BE0101__BE0101A/BefolkManadCKM/table/tableViewLayout1/</t>
      </text>
    </comment>
  </commentList>
</comments>
</file>

<file path=xl/sharedStrings.xml><?xml version="1.0" encoding="utf-8"?>
<sst xmlns="http://schemas.openxmlformats.org/spreadsheetml/2006/main" count="102" uniqueCount="35">
  <si>
    <t>Stockholm</t>
  </si>
  <si>
    <t>Age_gr</t>
  </si>
  <si>
    <t>Nr_pat</t>
  </si>
  <si>
    <t>60-64</t>
  </si>
  <si>
    <t>65-69</t>
  </si>
  <si>
    <t>70-74</t>
  </si>
  <si>
    <t>75-79</t>
  </si>
  <si>
    <t>80-84</t>
  </si>
  <si>
    <t>85-89</t>
  </si>
  <si>
    <t>90+</t>
  </si>
  <si>
    <t>Riket</t>
  </si>
  <si>
    <t>Total</t>
  </si>
  <si>
    <t>MVO code 241</t>
  </si>
  <si>
    <t>MVO codes 241 or 249</t>
  </si>
  <si>
    <t>age group</t>
  </si>
  <si>
    <t>No. People</t>
  </si>
  <si>
    <t>No. Men</t>
  </si>
  <si>
    <t>No. Women</t>
  </si>
  <si>
    <t>Prop</t>
  </si>
  <si>
    <t>No. People using geriatric inpatient care</t>
  </si>
  <si>
    <t>Prop. People using geriatric inpatient care</t>
  </si>
  <si>
    <t>Age</t>
  </si>
  <si>
    <t>Number of inhabitants in Sweden in 2026</t>
  </si>
  <si>
    <t>Proportion of people admitted to geriatric inpatient care in Sweden in 2024</t>
  </si>
  <si>
    <t>Prevalence of at risk of malnutrition in healthy population</t>
  </si>
  <si>
    <t>Prevalence of at risk of malnutrition in in-patient geriatric patients</t>
  </si>
  <si>
    <t>Prevalence of being malnourished in healthy population</t>
  </si>
  <si>
    <t>Prevalence of being malnourished in in-patient geriatric patients</t>
  </si>
  <si>
    <t>source: request to socialstyrelsen</t>
  </si>
  <si>
    <t>source: SCB</t>
  </si>
  <si>
    <t>source: multisjukdom databas</t>
  </si>
  <si>
    <t>Proportion of age groups among inhabitants in Sweden in 2026</t>
  </si>
  <si>
    <t>Overall proportion of no malnutrition</t>
  </si>
  <si>
    <t>Overall proportion of at risk of malnutrition</t>
  </si>
  <si>
    <t>Overall proportion of malnourished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</si>
</sst>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kr&quot;_-;\-* #,##0\ &quot;kr&quot;_-;_-* &quot;-&quot;\ &quot;kr&quot;_-;_-@_-"/>
    <numFmt numFmtId="165" formatCode="_-* #,##0.00\ &quot;kr&quot;_-;\-* #,##0.00\ &quot;kr&quot;_-;_-* &quot;-&quot;??\ &quot;kr&quot;_-;_-@_-"/>
    <numFmt numFmtId="166" formatCode="_-* #,##0.00_-;\-* #,##0.00_-;_-* &quot;-&quot;??_-;_-@_-"/>
    <numFmt numFmtId="167" formatCode="0&quot; &quot;%"/>
  </numFmts>
  <fonts count="27">
    <font>
      <sz val="8.5"/>
      <color theme="1"/>
      <name val="Noto Sans"/>
      <family val="2"/>
      <scheme val="minor"/>
    </font>
    <font>
      <sz val="8"/>
      <color theme="1"/>
      <name val="Noto Sans"/>
      <family val="2"/>
      <scheme val="minor"/>
    </font>
    <font>
      <sz val="8"/>
      <color theme="1"/>
      <name val="Body Font"/>
      <family val="2"/>
    </font>
    <font>
      <sz val="8"/>
      <color theme="0"/>
      <name val="Noto Sans"/>
      <family val="2"/>
      <scheme val="minor"/>
    </font>
    <font>
      <sz val="11"/>
      <color rgb="FF3F3F76"/>
      <name val="Noto Sans"/>
      <family val="2"/>
      <scheme val="minor"/>
    </font>
    <font>
      <b/>
      <sz val="11"/>
      <color rgb="FF3F3F3F"/>
      <name val="Noto Sans"/>
      <family val="2"/>
      <scheme val="minor"/>
    </font>
    <font>
      <b/>
      <sz val="11"/>
      <color rgb="FFFA7D00"/>
      <name val="Noto Sans"/>
      <family val="2"/>
      <scheme val="minor"/>
    </font>
    <font>
      <sz val="11"/>
      <color rgb="FFFA7D00"/>
      <name val="Noto Sans"/>
      <family val="2"/>
      <scheme val="minor"/>
    </font>
    <font>
      <b/>
      <sz val="11"/>
      <color theme="0"/>
      <name val="Noto Sans"/>
      <family val="2"/>
      <scheme val="minor"/>
    </font>
    <font>
      <sz val="11"/>
      <color rgb="FFFF0000"/>
      <name val="Noto Sans"/>
      <family val="2"/>
      <scheme val="minor"/>
    </font>
    <font>
      <i/>
      <sz val="11"/>
      <color rgb="FF7F7F7F"/>
      <name val="Noto Sans"/>
      <family val="2"/>
      <scheme val="minor"/>
    </font>
    <font>
      <sz val="8.5"/>
      <color theme="1"/>
      <name val="Noto Sans"/>
      <family val="2"/>
      <scheme val="minor"/>
    </font>
    <font>
      <sz val="8.5"/>
      <color theme="1"/>
      <name val="Noto Sans"/>
      <family val="2"/>
      <scheme val="major"/>
    </font>
    <font>
      <sz val="18"/>
      <color theme="3"/>
      <name val="Noto Sans"/>
      <family val="2"/>
      <scheme val="major"/>
    </font>
    <font>
      <b/>
      <sz val="11"/>
      <color theme="1"/>
      <name val="Noto Sans"/>
      <family val="2"/>
      <scheme val="minor"/>
    </font>
    <font>
      <sz val="10"/>
      <color theme="1"/>
      <name val="Noto Sans"/>
      <family val="2"/>
      <scheme val="minor"/>
    </font>
    <font>
      <sz val="7"/>
      <color theme="1"/>
      <name val="Noto Sans"/>
      <family val="2"/>
      <scheme val="minor"/>
    </font>
    <font>
      <sz val="10"/>
      <color theme="0"/>
      <name val="Noto Sans"/>
      <family val="2"/>
      <scheme val="minor"/>
    </font>
    <font>
      <sz val="8"/>
      <name val="Noto Sans"/>
      <family val="2"/>
      <scheme val="minor"/>
    </font>
    <font>
      <b/>
      <sz val="8.5"/>
      <color theme="1"/>
      <name val="Noto Sans"/>
      <family val="2"/>
      <scheme val="minor"/>
    </font>
    <font>
      <u/>
      <sz val="8.5"/>
      <color theme="10"/>
      <name val="Noto Sans"/>
      <family val="2"/>
      <scheme val="minor"/>
    </font>
    <font>
      <u/>
      <sz val="8.5"/>
      <color theme="11"/>
      <name val="Noto Sans"/>
      <family val="2"/>
      <scheme val="minor"/>
    </font>
    <font>
      <b/>
      <sz val="14"/>
      <color theme="1"/>
      <name val="Noto Sans"/>
      <family val="2"/>
      <scheme val="minor"/>
    </font>
    <font>
      <b/>
      <sz val="12"/>
      <color theme="1"/>
      <name val="Noto Sans"/>
      <family val="2"/>
      <scheme val="minor"/>
    </font>
    <font>
      <b/>
      <sz val="10"/>
      <color theme="1"/>
      <name val="Noto Sans"/>
      <family val="2"/>
      <scheme val="major"/>
    </font>
    <font>
      <b/>
      <sz val="10"/>
      <color theme="1"/>
      <name val="Noto Sans"/>
      <family val="2"/>
      <scheme val="minor"/>
    </font>
    <font>
      <b/>
      <sz val="9"/>
      <color theme="1"/>
      <name val="Noto Sans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85135"/>
        <bgColor indexed="64"/>
      </patternFill>
    </fill>
    <fill>
      <patternFill patternType="solid">
        <fgColor rgb="FFDE9786"/>
        <bgColor indexed="64"/>
      </patternFill>
    </fill>
    <fill>
      <patternFill patternType="solid">
        <fgColor rgb="FFE9B9AE"/>
        <bgColor indexed="64"/>
      </patternFill>
    </fill>
    <fill>
      <patternFill patternType="solid">
        <fgColor rgb="FFF4DCD7"/>
        <bgColor indexed="64"/>
      </patternFill>
    </fill>
    <fill>
      <patternFill patternType="solid">
        <fgColor rgb="FF9A4392"/>
        <bgColor indexed="64"/>
      </patternFill>
    </fill>
    <fill>
      <patternFill patternType="solid">
        <fgColor rgb="FFC28EBE"/>
        <bgColor indexed="64"/>
      </patternFill>
    </fill>
    <fill>
      <patternFill patternType="solid">
        <fgColor rgb="FFD7B4D3"/>
        <bgColor indexed="64"/>
      </patternFill>
    </fill>
    <fill>
      <patternFill patternType="solid">
        <fgColor rgb="FFEBD9E9"/>
        <bgColor indexed="64"/>
      </patternFill>
    </fill>
    <fill>
      <patternFill patternType="solid">
        <fgColor rgb="FF008276"/>
        <bgColor indexed="64"/>
      </patternFill>
    </fill>
    <fill>
      <patternFill patternType="solid">
        <fgColor rgb="FFB27B2A"/>
        <bgColor indexed="64"/>
      </patternFill>
    </fill>
    <fill>
      <patternFill patternType="solid">
        <fgColor rgb="FFEB805F"/>
        <bgColor indexed="64"/>
      </patternFill>
    </fill>
    <fill>
      <patternFill patternType="solid">
        <fgColor rgb="FF00A380"/>
        <bgColor indexed="64"/>
      </patternFill>
    </fill>
    <fill>
      <patternFill patternType="solid">
        <fgColor rgb="FFECB94F"/>
        <bgColor indexed="64"/>
      </patternFill>
    </fill>
    <fill>
      <patternFill patternType="solid">
        <fgColor rgb="FFBE67C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79D3C5"/>
        <bgColor indexed="64"/>
      </patternFill>
    </fill>
    <fill>
      <patternFill patternType="solid">
        <fgColor rgb="FFF9E0A7"/>
        <bgColor indexed="64"/>
      </patternFill>
    </fill>
    <fill>
      <patternFill patternType="solid">
        <fgColor rgb="FFECCFE9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C751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7">
    <xf numFmtId="0" fontId="0" fillId="0" borderId="0"/>
    <xf numFmtId="167" fontId="12" fillId="0" borderId="0" applyFill="0" applyBorder="0" applyAlignment="0" applyProtection="0"/>
    <xf numFmtId="0" fontId="22" fillId="0" borderId="0" applyNumberFormat="0" applyFill="0" applyBorder="0" applyProtection="0">
      <alignment vertical="top"/>
    </xf>
    <xf numFmtId="0" fontId="23" fillId="0" borderId="0" applyNumberFormat="0" applyFill="0" applyBorder="0" applyProtection="0">
      <alignment vertical="top"/>
    </xf>
    <xf numFmtId="0" fontId="24" fillId="0" borderId="0" applyNumberFormat="0" applyFill="0" applyBorder="0" applyProtection="0">
      <alignment vertical="top"/>
    </xf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3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3" fillId="18" borderId="0" applyBorder="0" applyAlignment="0" applyProtection="0"/>
    <xf numFmtId="0" fontId="3" fillId="26" borderId="0" applyBorder="0" applyAlignment="0" applyProtection="0"/>
    <xf numFmtId="0" fontId="3" fillId="27" borderId="0" applyBorder="0" applyAlignment="0" applyProtection="0"/>
    <xf numFmtId="0" fontId="3" fillId="22" borderId="0" applyBorder="0" applyAlignment="0" applyProtection="0"/>
    <xf numFmtId="0" fontId="1" fillId="28" borderId="0" applyBorder="0" applyAlignment="0" applyProtection="0"/>
    <xf numFmtId="0" fontId="1" fillId="29" borderId="0" applyBorder="0" applyAlignment="0" applyProtection="0"/>
    <xf numFmtId="0" fontId="1" fillId="30" borderId="0" applyBorder="0" applyAlignment="0" applyProtection="0"/>
    <xf numFmtId="0" fontId="1" fillId="31" borderId="0" applyBorder="0" applyAlignment="0" applyProtection="0"/>
    <xf numFmtId="0" fontId="1" fillId="32" borderId="0" applyBorder="0" applyAlignment="0" applyProtection="0"/>
    <xf numFmtId="0" fontId="1" fillId="33" borderId="0" applyBorder="0" applyAlignment="0" applyProtection="0"/>
    <xf numFmtId="0" fontId="1" fillId="34" borderId="0" applyBorder="0" applyAlignment="0" applyProtection="0"/>
    <xf numFmtId="0" fontId="1" fillId="35" borderId="0" applyBorder="0" applyAlignment="0" applyProtection="0"/>
    <xf numFmtId="166" fontId="12" fillId="0" borderId="0" applyFill="0" applyBorder="0" applyAlignment="0" applyProtection="0"/>
    <xf numFmtId="3" fontId="11" fillId="0" borderId="0" applyFill="0" applyBorder="0" applyAlignment="0" applyProtection="0"/>
    <xf numFmtId="165" fontId="11" fillId="0" borderId="0" applyFill="0" applyBorder="0" applyAlignment="0" applyProtection="0"/>
    <xf numFmtId="164" fontId="11" fillId="0" borderId="0" applyFill="0" applyBorder="0" applyAlignment="0" applyProtection="0"/>
    <xf numFmtId="0" fontId="4" fillId="36" borderId="1" applyNumberFormat="0" applyAlignment="0" applyProtection="0"/>
    <xf numFmtId="0" fontId="5" fillId="37" borderId="2" applyNumberFormat="0" applyAlignment="0" applyProtection="0"/>
    <xf numFmtId="0" fontId="6" fillId="37" borderId="1" applyNumberFormat="0" applyAlignment="0" applyProtection="0"/>
    <xf numFmtId="0" fontId="7" fillId="0" borderId="3" applyNumberFormat="0" applyFill="0" applyAlignment="0" applyProtection="0"/>
    <xf numFmtId="0" fontId="8" fillId="38" borderId="4" applyNumberFormat="0" applyAlignment="0" applyProtection="0"/>
    <xf numFmtId="0" fontId="9" fillId="0" borderId="0" applyNumberFormat="0" applyFill="0" applyBorder="0" applyAlignment="0" applyProtection="0"/>
    <xf numFmtId="0" fontId="1" fillId="39" borderId="5" applyNumberFormat="0" applyFont="0" applyAlignment="0" applyProtection="0"/>
    <xf numFmtId="0" fontId="1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7" fillId="26" borderId="0" applyNumberFormat="0" applyBorder="0" applyProtection="0">
      <alignment vertical="top"/>
    </xf>
    <xf numFmtId="0" fontId="17" fillId="40" borderId="0" applyNumberFormat="0" applyBorder="0" applyProtection="0">
      <alignment vertical="top"/>
    </xf>
    <xf numFmtId="0" fontId="15" fillId="30" borderId="0" applyNumberFormat="0" applyBorder="0" applyProtection="0">
      <alignment vertical="top"/>
    </xf>
    <xf numFmtId="0" fontId="14" fillId="0" borderId="6" applyNumberFormat="0" applyFill="0" applyAlignment="0" applyProtection="0"/>
    <xf numFmtId="0" fontId="25" fillId="0" borderId="0"/>
    <xf numFmtId="0" fontId="11" fillId="0" borderId="0"/>
    <xf numFmtId="0" fontId="15" fillId="0" borderId="0"/>
    <xf numFmtId="0" fontId="1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30">
    <xf numFmtId="0" fontId="0" fillId="0" borderId="0" xfId="0"/>
    <xf numFmtId="0" fontId="19" fillId="0" borderId="0" xfId="0" applyFont="1"/>
    <xf numFmtId="0" fontId="0" fillId="41" borderId="7" xfId="0" applyFill="1" applyBorder="1"/>
    <xf numFmtId="0" fontId="0" fillId="41" borderId="8" xfId="0" applyFill="1" applyBorder="1"/>
    <xf numFmtId="0" fontId="0" fillId="41" borderId="9" xfId="0" applyFill="1" applyBorder="1"/>
    <xf numFmtId="0" fontId="0" fillId="41" borderId="10" xfId="0" applyFill="1" applyBorder="1"/>
    <xf numFmtId="0" fontId="0" fillId="41" borderId="12" xfId="0" applyFill="1" applyBorder="1"/>
    <xf numFmtId="0" fontId="0" fillId="41" borderId="13" xfId="0" applyFill="1" applyBorder="1"/>
    <xf numFmtId="0" fontId="0" fillId="41" borderId="14" xfId="0" applyFill="1" applyBorder="1"/>
    <xf numFmtId="0" fontId="0" fillId="42" borderId="7" xfId="0" applyFill="1" applyBorder="1"/>
    <xf numFmtId="0" fontId="0" fillId="42" borderId="8" xfId="0" applyFill="1" applyBorder="1"/>
    <xf numFmtId="0" fontId="0" fillId="42" borderId="9" xfId="0" applyFill="1" applyBorder="1"/>
    <xf numFmtId="0" fontId="0" fillId="42" borderId="10" xfId="0" applyFill="1" applyBorder="1"/>
    <xf numFmtId="0" fontId="0" fillId="42" borderId="12" xfId="0" applyFill="1" applyBorder="1"/>
    <xf numFmtId="0" fontId="0" fillId="42" borderId="13" xfId="0" applyFill="1" applyBorder="1"/>
    <xf numFmtId="0" fontId="0" fillId="42" borderId="14" xfId="0" applyFill="1" applyBorder="1"/>
    <xf numFmtId="0" fontId="0" fillId="41" borderId="0" xfId="0" applyFill="1" applyAlignment="1">
      <alignment horizontal="right"/>
    </xf>
    <xf numFmtId="0" fontId="0" fillId="41" borderId="11" xfId="0" applyFill="1" applyBorder="1" applyAlignment="1">
      <alignment horizontal="right"/>
    </xf>
    <xf numFmtId="0" fontId="0" fillId="42" borderId="0" xfId="0" applyFill="1" applyAlignment="1">
      <alignment horizontal="right"/>
    </xf>
    <xf numFmtId="0" fontId="0" fillId="42" borderId="11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42" borderId="0" xfId="0" applyFill="1"/>
    <xf numFmtId="1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</cellXfs>
  <cellStyles count="67">
    <cellStyle name="20% - Accent1" xfId="7" builtinId="30" customBuiltin="1"/>
    <cellStyle name="20% - Accent2" xfId="11" builtinId="34" customBuiltin="1"/>
    <cellStyle name="20% - Accent3" xfId="15" builtinId="38" customBuiltin="1"/>
    <cellStyle name="20% - Accent4" xfId="19" builtinId="42" customBuiltin="1"/>
    <cellStyle name="20% - Accent5" xfId="23" builtinId="46" customBuiltin="1"/>
    <cellStyle name="20% - Accent6" xfId="27" builtinId="50" customBuiltin="1"/>
    <cellStyle name="40% - Accent1" xfId="8" builtinId="31" customBuiltin="1"/>
    <cellStyle name="40% - Accent2" xfId="12" builtinId="35" customBuiltin="1"/>
    <cellStyle name="40% - Accent3" xfId="16" builtinId="39" customBuiltin="1"/>
    <cellStyle name="40% - Accent4" xfId="20" builtinId="43" customBuiltin="1"/>
    <cellStyle name="40% - Accent5" xfId="24" builtinId="47" customBuiltin="1"/>
    <cellStyle name="40% - Accent6" xfId="28" builtinId="51" customBuiltin="1"/>
    <cellStyle name="60% - Accent1" xfId="9" builtinId="32" customBuiltin="1"/>
    <cellStyle name="60% - Accent2" xfId="13" builtinId="36" customBuiltin="1"/>
    <cellStyle name="60% - Accent3" xfId="17" builtinId="40" customBuiltin="1"/>
    <cellStyle name="60% - Accent4" xfId="21" builtinId="44" customBuiltin="1"/>
    <cellStyle name="60% - Accent5" xfId="25" builtinId="48" customBuiltin="1"/>
    <cellStyle name="60% - Accent6" xfId="29" builtinId="52" customBuiltin="1"/>
    <cellStyle name="Accent1" xfId="6" builtinId="29" customBuiltin="1"/>
    <cellStyle name="Accent2" xfId="10" builtinId="33" customBuiltin="1"/>
    <cellStyle name="Accent3" xfId="14" builtinId="37" customBuiltin="1"/>
    <cellStyle name="Accent4" xfId="18" builtinId="41" customBuiltin="1"/>
    <cellStyle name="Accent5" xfId="22" builtinId="45" customBuiltin="1"/>
    <cellStyle name="Accent6" xfId="26" builtinId="49" customBuiltin="1"/>
    <cellStyle name="Bad" xfId="56" builtinId="27" customBuiltin="1"/>
    <cellStyle name="Calculation" xfId="48" builtinId="22" hidden="1"/>
    <cellStyle name="Check Cell" xfId="50" builtinId="23" hidden="1"/>
    <cellStyle name="Comma" xfId="42" builtinId="3" customBuiltin="1"/>
    <cellStyle name="Comma [0]" xfId="43" builtinId="6" customBuiltin="1"/>
    <cellStyle name="Currency" xfId="44" builtinId="4" customBuiltin="1"/>
    <cellStyle name="Currency [0]" xfId="45" builtinId="7" customBuiltin="1"/>
    <cellStyle name="Explanatory Text" xfId="53" builtinId="53" hidden="1"/>
    <cellStyle name="Followed Hyperlink" xfId="64" builtinId="9" hidden="1"/>
    <cellStyle name="Good" xfId="55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hidden="1" customBuiltin="1"/>
    <cellStyle name="Heading 4" xfId="65" builtinId="19" customBuiltin="1"/>
    <cellStyle name="Hyperlink" xfId="63" builtinId="8" hidden="1"/>
    <cellStyle name="Input" xfId="46" builtinId="20" hidden="1"/>
    <cellStyle name="Linked Cell" xfId="49" builtinId="24" hidden="1"/>
    <cellStyle name="Ljus - Brun" xfId="38" xr:uid="{44500E03-DE44-4445-AE9A-5B02042746A3}"/>
    <cellStyle name="Ljus - Grön" xfId="39" xr:uid="{4B63A069-A87B-4F8B-9FA7-A3B9B4724D89}"/>
    <cellStyle name="Ljus - Gul" xfId="40" xr:uid="{D2965EE2-65A2-443C-A9F4-4B4529E348BB}"/>
    <cellStyle name="Ljus - Lila" xfId="41" xr:uid="{3D2CBB74-1612-4C42-B331-0C11FF4516F2}"/>
    <cellStyle name="Mellan - Brun" xfId="34" xr:uid="{E08D603D-BFAC-4387-9335-39C164CF56FE}"/>
    <cellStyle name="Mellan - Grön" xfId="35" xr:uid="{61ED0947-B9FE-4A71-8858-B6CCEE6EE9AE}"/>
    <cellStyle name="Mellan - Gul" xfId="36" xr:uid="{255B95F9-1A52-4758-BE1D-D1DC89A0CADE}"/>
    <cellStyle name="Mellan - Lila" xfId="37" xr:uid="{DB823963-32B5-427A-BE53-6A5AADA41274}"/>
    <cellStyle name="Mörk - Brun" xfId="30" xr:uid="{98BF2346-778D-4CE6-8DDA-73FCBF53EBC9}"/>
    <cellStyle name="Mörk - Grön" xfId="31" xr:uid="{8C3A9469-52DA-489D-A53E-CE0FE29F7763}"/>
    <cellStyle name="Mörk - Gul" xfId="32" xr:uid="{7AF85DEE-1E9D-4F0B-9F72-E52F0B4EBBA4}"/>
    <cellStyle name="Mörk - Lila" xfId="33" xr:uid="{582938EF-9E20-48F5-A1B1-ABD4C163800A}"/>
    <cellStyle name="Neutral" xfId="57" builtinId="28" customBuiltin="1"/>
    <cellStyle name="Normal" xfId="0" builtinId="0" customBuiltin="1"/>
    <cellStyle name="Note" xfId="52" builtinId="10" hidden="1"/>
    <cellStyle name="Output" xfId="47" builtinId="21" hidden="1"/>
    <cellStyle name="Percent" xfId="1" builtinId="5" customBuiltin="1"/>
    <cellStyle name="Tabell: rad- och kolumnrubrik" xfId="66" xr:uid="{CD9DA235-8DED-482A-A16B-96097D49859A}"/>
    <cellStyle name="Tabellkälla" xfId="62" xr:uid="{BFE4936B-6BC2-4D20-AABF-E54A73437F6E}"/>
    <cellStyle name="Tabellltext" xfId="60" xr:uid="{A3AE920F-18F4-4F1D-8C67-6778406F151C}"/>
    <cellStyle name="Tabellrubrik" xfId="59" xr:uid="{F0774D76-94B9-4B55-A8C0-9E7BE90E0D4E}"/>
    <cellStyle name="Tabellunderrubrik" xfId="61" xr:uid="{49953517-2EE7-41F0-B141-EF11D0026F71}"/>
    <cellStyle name="Title" xfId="54" builtinId="15" hidden="1"/>
    <cellStyle name="Total" xfId="58" builtinId="25" hidden="1"/>
    <cellStyle name="Warning Text" xfId="51" builtinId="11" hidden="1"/>
  </cellStyles>
  <dxfs count="12">
    <dxf>
      <fill>
        <patternFill>
          <bgColor theme="3"/>
        </patternFill>
      </fill>
    </dxf>
    <dxf>
      <font>
        <b/>
        <i val="0"/>
        <strike val="0"/>
      </font>
      <fill>
        <patternFill>
          <bgColor theme="3"/>
        </patternFill>
      </fill>
      <border>
        <bottom style="thin">
          <color auto="1"/>
        </bottom>
      </border>
    </dxf>
    <dxf>
      <font>
        <b val="0"/>
        <i val="0"/>
        <strike val="0"/>
      </font>
      <border>
        <left/>
        <right/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ill>
        <patternFill>
          <bgColor theme="3"/>
        </patternFill>
      </fill>
    </dxf>
    <dxf>
      <font>
        <b/>
        <i val="0"/>
        <strike val="0"/>
      </font>
      <fill>
        <patternFill>
          <bgColor theme="3"/>
        </patternFill>
      </fill>
    </dxf>
    <dxf>
      <font>
        <b val="0"/>
        <i val="0"/>
        <strike val="0"/>
      </font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ill>
        <patternFill>
          <bgColor theme="8"/>
        </patternFill>
      </fill>
    </dxf>
    <dxf>
      <font>
        <b/>
        <i val="0"/>
        <strike val="0"/>
      </font>
      <fill>
        <patternFill>
          <bgColor theme="8"/>
        </patternFill>
      </fill>
      <border>
        <bottom style="thin">
          <color auto="1"/>
        </bottom>
      </border>
    </dxf>
    <dxf>
      <font>
        <b val="0"/>
        <i val="0"/>
        <strike val="0"/>
      </font>
      <border>
        <left/>
        <right/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ill>
        <patternFill>
          <bgColor theme="8"/>
        </patternFill>
      </fill>
    </dxf>
    <dxf>
      <font>
        <b/>
        <i val="0"/>
        <strike val="0"/>
      </font>
      <fill>
        <patternFill>
          <bgColor theme="8"/>
        </patternFill>
      </fill>
    </dxf>
    <dxf>
      <font>
        <b val="0"/>
        <i val="0"/>
        <strike val="0"/>
      </font>
      <border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</dxfs>
  <tableStyles count="4" defaultTableStyle="1. SoS Tabell blå" defaultPivotStyle="PivotStyleLight16">
    <tableStyle name="1. SoS Tabell blå" pivot="0" count="3" xr9:uid="{090F2B31-400F-47E1-8EBB-BE106216368C}">
      <tableStyleElement type="wholeTable" dxfId="11"/>
      <tableStyleElement type="headerRow" dxfId="10"/>
      <tableStyleElement type="secondRowStripe" dxfId="9"/>
    </tableStyle>
    <tableStyle name="1. SoS Tabell blå text" pivot="0" count="3" xr9:uid="{2720387A-FE4E-48F4-96F8-CF65986EA488}">
      <tableStyleElement type="wholeTable" dxfId="8"/>
      <tableStyleElement type="headerRow" dxfId="7"/>
      <tableStyleElement type="secondRowStripe" dxfId="6"/>
    </tableStyle>
    <tableStyle name="2. SoS Tabell beige" pivot="0" count="3" xr9:uid="{C8850486-4D7B-4F77-975A-69994CDD2A79}">
      <tableStyleElement type="wholeTable" dxfId="5"/>
      <tableStyleElement type="headerRow" dxfId="4"/>
      <tableStyleElement type="secondRowStripe" dxfId="3"/>
    </tableStyle>
    <tableStyle name="2. SoS Tabell beige text" pivot="0" count="3" xr9:uid="{7496ACB7-6A13-48C5-826C-3E1CD1530480}">
      <tableStyleElement type="wholeTable" dxfId="2"/>
      <tableStyleElement type="headerRow" dxfId="1"/>
      <tableStyleElement type="secondRowStripe" dxfId="0"/>
    </tableStyle>
  </tableStyles>
  <colors>
    <mruColors>
      <color rgb="FFECB94F"/>
      <color rgb="FFC75136"/>
      <color rgb="FF008276"/>
      <color rgb="FFECCFE9"/>
      <color rgb="FFF9E0A7"/>
      <color rgb="FF79D3C5"/>
      <color rgb="FFF7CAAC"/>
      <color rgb="FFBE67C0"/>
      <color rgb="FF00A380"/>
      <color rgb="FFEB80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n Xia" id="{74931728-FD1F-7948-8F35-05876C69A84D}" userId="S::xin.xia@ki.se::b72cac62-e4db-4876-a9b7-ac428481ec00" providerId="AD"/>
</personList>
</file>

<file path=xl/theme/theme1.xml><?xml version="1.0" encoding="utf-8"?>
<a:theme xmlns:a="http://schemas.openxmlformats.org/drawingml/2006/main" name="SoS XL">
  <a:themeElements>
    <a:clrScheme name="SoS">
      <a:dk1>
        <a:srgbClr val="000000"/>
      </a:dk1>
      <a:lt1>
        <a:srgbClr val="FFFFFF"/>
      </a:lt1>
      <a:dk2>
        <a:srgbClr val="F8F2E8"/>
      </a:dk2>
      <a:lt2>
        <a:srgbClr val="FCFAF7"/>
      </a:lt2>
      <a:accent1>
        <a:srgbClr val="002B45"/>
      </a:accent1>
      <a:accent2>
        <a:srgbClr val="00385C"/>
      </a:accent2>
      <a:accent3>
        <a:srgbClr val="005892"/>
      </a:accent3>
      <a:accent4>
        <a:srgbClr val="017CC1"/>
      </a:accent4>
      <a:accent5>
        <a:srgbClr val="DBF0F6"/>
      </a:accent5>
      <a:accent6>
        <a:srgbClr val="EBFAFC"/>
      </a:accent6>
      <a:hlink>
        <a:srgbClr val="0563C1"/>
      </a:hlink>
      <a:folHlink>
        <a:srgbClr val="954F72"/>
      </a:folHlink>
    </a:clrScheme>
    <a:fontScheme name="XL">
      <a:majorFont>
        <a:latin typeface="Noto Sans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vert="horz" lIns="0" tIns="45720" rIns="91440" bIns="45720" rtlCol="0" anchor="t">
        <a:normAutofit/>
      </a:bodyPr>
      <a:lstStyle>
        <a:defPPr algn="l">
          <a:defRPr dirty="0"/>
        </a:defPPr>
      </a:lstStyle>
    </a:txDef>
  </a:objectDefaults>
  <a:extraClrSchemeLst/>
  <a:custClrLst>
    <a:custClr name="SoS Mörkblå 1">
      <a:srgbClr val="002B45"/>
    </a:custClr>
    <a:custClr name="SoS Mörkblå 2">
      <a:srgbClr val="00385C"/>
    </a:custClr>
    <a:custClr name="SoS Blå 1">
      <a:srgbClr val="005892"/>
    </a:custClr>
    <a:custClr name="SoS Blå 2">
      <a:srgbClr val="017CC1"/>
    </a:custClr>
    <a:custClr name="SoS Ljusblå 1">
      <a:srgbClr val="DBF0F6"/>
    </a:custClr>
    <a:custClr name="SoS Ljusblå 2">
      <a:srgbClr val="EBFAFC"/>
    </a:custClr>
    <a:custClr name="SoS Beige 1">
      <a:srgbClr val="F8F2E8"/>
    </a:custClr>
    <a:custClr name="Sos Beige 2">
      <a:srgbClr val="FCFAF5"/>
    </a:custClr>
    <a:custClr name="Vit">
      <a:srgbClr val="FFFFFF"/>
    </a:custClr>
    <a:custClr name="Vit">
      <a:srgbClr val="FFFFFF"/>
    </a:custClr>
    <a:custClr name="SoS Gul 1">
      <a:srgbClr val="B27B2A"/>
    </a:custClr>
    <a:custClr name="SoS Gul 2">
      <a:srgbClr val="ECB94F"/>
    </a:custClr>
    <a:custClr name="SoS Gul 3">
      <a:srgbClr val="F9E0A7"/>
    </a:custClr>
    <a:custClr name="SoS Lila 1">
      <a:srgbClr val="9A4392"/>
    </a:custClr>
    <a:custClr name="SoS Lila 2">
      <a:srgbClr val="BE67C0"/>
    </a:custClr>
    <a:custClr name="SoS Lila 3">
      <a:srgbClr val="ECCFE9"/>
    </a:custClr>
    <a:custClr name="Vit">
      <a:srgbClr val="FFFFFF"/>
    </a:custClr>
    <a:custClr name="Vit">
      <a:srgbClr val="FFFFFF"/>
    </a:custClr>
    <a:custClr name="Vit">
      <a:srgbClr val="FFFFFF"/>
    </a:custClr>
    <a:custClr name="Vit">
      <a:srgbClr val="FFFFFF"/>
    </a:custClr>
    <a:custClr name="SoS Grön 1">
      <a:srgbClr val="008276"/>
    </a:custClr>
    <a:custClr name="SoS Grön 2">
      <a:srgbClr val="00A380"/>
    </a:custClr>
    <a:custClr name="SoS Grön 3">
      <a:srgbClr val="79D3C2"/>
    </a:custClr>
    <a:custClr name="SoS Orange 1">
      <a:srgbClr val="C75136"/>
    </a:custClr>
    <a:custClr name="SoS Orange 2">
      <a:srgbClr val="EA805F"/>
    </a:custClr>
    <a:custClr name="SoS Orange 3">
      <a:srgbClr val="F7CAAD"/>
    </a:custClr>
  </a:custClrLst>
  <a:extLst>
    <a:ext uri="{05A4C25C-085E-4340-85A3-A5531E510DB2}">
      <thm15:themeFamily xmlns:thm15="http://schemas.microsoft.com/office/thememl/2012/main" name="Egna färger (ppt)" id="{AFB5DAB0-28A3-4308-B3F2-86DD05AC7D61}" vid="{70C6B1D6-D075-4BE2-B2BB-6B5224F2B428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20T06:53:40.17" personId="{74931728-FD1F-7948-8F35-05876C69A84D}" id="{BA000C09-9E9B-CC43-8CAF-9E89D8616C7B}">
    <text>https://www.statistikdatabasen.scb.se/pxweb/en/ssd/START__BE__BE0101__BE0101A/BefolkManadCKM/table/tableViewLayout1/</text>
    <extLst>
      <x:ext xmlns:xltc2="http://schemas.microsoft.com/office/spreadsheetml/2020/threadedcomments2" uri="{F7C98A9C-CBB3-438F-8F68-D28B6AF4A901}">
        <xltc2:checksum>2489864280</xltc2:checksum>
        <xltc2:hyperlink startIndex="0" length="116" url="https://www.statistikdatabasen.scb.se/pxweb/en/ssd/START__BE__BE0101__BE0101A/BefolkManadCKM/table/tableViewLayout1/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13FC-B5FD-4765-95EE-5AE8946E36B8}">
  <dimension ref="A1:M22"/>
  <sheetViews>
    <sheetView zoomScale="170" workbookViewId="0">
      <selection activeCell="A22" sqref="A22"/>
    </sheetView>
  </sheetViews>
  <sheetFormatPr baseColWidth="10" defaultColWidth="9.3984375" defaultRowHeight="13"/>
  <sheetData>
    <row r="1" spans="1:13">
      <c r="A1" s="28" t="s">
        <v>12</v>
      </c>
      <c r="B1" s="28"/>
      <c r="C1" s="28"/>
      <c r="D1" s="28"/>
      <c r="E1" s="28"/>
      <c r="F1" s="28"/>
      <c r="G1" s="28"/>
      <c r="H1" s="28"/>
      <c r="I1" s="28"/>
    </row>
    <row r="2" spans="1:13">
      <c r="A2" s="2" t="s">
        <v>0</v>
      </c>
      <c r="B2" s="3"/>
      <c r="C2" s="3"/>
      <c r="D2" s="3"/>
      <c r="E2" s="3"/>
      <c r="F2" s="3"/>
      <c r="G2" s="3"/>
      <c r="H2" s="3"/>
      <c r="I2" s="4"/>
    </row>
    <row r="3" spans="1:13">
      <c r="A3" s="5" t="s">
        <v>1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7" t="s">
        <v>11</v>
      </c>
    </row>
    <row r="4" spans="1:13">
      <c r="A4" s="6" t="s">
        <v>2</v>
      </c>
      <c r="B4" s="7">
        <v>508</v>
      </c>
      <c r="C4" s="7">
        <v>1442</v>
      </c>
      <c r="D4" s="7">
        <v>3081</v>
      </c>
      <c r="E4" s="7">
        <v>6231</v>
      </c>
      <c r="F4" s="7">
        <v>7795</v>
      </c>
      <c r="G4" s="7">
        <v>6988</v>
      </c>
      <c r="H4" s="7">
        <v>5992</v>
      </c>
      <c r="I4" s="8">
        <v>32037</v>
      </c>
    </row>
    <row r="6" spans="1:13">
      <c r="A6" s="2" t="s">
        <v>10</v>
      </c>
      <c r="B6" s="3"/>
      <c r="C6" s="3"/>
      <c r="D6" s="3"/>
      <c r="E6" s="3"/>
      <c r="F6" s="3"/>
      <c r="G6" s="3"/>
      <c r="H6" s="3"/>
      <c r="I6" s="4"/>
    </row>
    <row r="7" spans="1:13">
      <c r="A7" s="5" t="s">
        <v>1</v>
      </c>
      <c r="B7" s="16" t="s">
        <v>3</v>
      </c>
      <c r="C7" s="16" t="s">
        <v>4</v>
      </c>
      <c r="D7" s="16" t="s">
        <v>5</v>
      </c>
      <c r="E7" s="16" t="s">
        <v>6</v>
      </c>
      <c r="F7" s="16" t="s">
        <v>7</v>
      </c>
      <c r="G7" s="16" t="s">
        <v>8</v>
      </c>
      <c r="H7" s="16" t="s">
        <v>9</v>
      </c>
      <c r="I7" s="17" t="s">
        <v>11</v>
      </c>
    </row>
    <row r="8" spans="1:13">
      <c r="A8" s="6" t="s">
        <v>2</v>
      </c>
      <c r="B8" s="7">
        <v>913</v>
      </c>
      <c r="C8" s="7">
        <v>2275</v>
      </c>
      <c r="D8" s="7">
        <v>4573</v>
      </c>
      <c r="E8" s="7">
        <v>9124</v>
      </c>
      <c r="F8" s="7">
        <v>11317</v>
      </c>
      <c r="G8" s="7">
        <v>10602</v>
      </c>
      <c r="H8" s="7">
        <v>9370</v>
      </c>
      <c r="I8" s="8">
        <v>48174</v>
      </c>
    </row>
    <row r="11" spans="1:13">
      <c r="A11" s="29" t="s">
        <v>13</v>
      </c>
      <c r="B11" s="29"/>
      <c r="C11" s="29"/>
      <c r="D11" s="29"/>
      <c r="E11" s="29"/>
      <c r="F11" s="29"/>
      <c r="G11" s="29"/>
      <c r="H11" s="29"/>
      <c r="I11" s="29"/>
      <c r="M11" s="1"/>
    </row>
    <row r="12" spans="1:13">
      <c r="A12" s="9" t="s">
        <v>0</v>
      </c>
      <c r="B12" s="10"/>
      <c r="C12" s="10"/>
      <c r="D12" s="10"/>
      <c r="E12" s="10"/>
      <c r="F12" s="10"/>
      <c r="G12" s="10"/>
      <c r="H12" s="10"/>
      <c r="I12" s="11"/>
    </row>
    <row r="13" spans="1:13">
      <c r="A13" s="12" t="s">
        <v>1</v>
      </c>
      <c r="B13" s="18" t="s">
        <v>3</v>
      </c>
      <c r="C13" s="18" t="s">
        <v>4</v>
      </c>
      <c r="D13" s="18" t="s">
        <v>5</v>
      </c>
      <c r="E13" s="18" t="s">
        <v>6</v>
      </c>
      <c r="F13" s="18" t="s">
        <v>7</v>
      </c>
      <c r="G13" s="18" t="s">
        <v>8</v>
      </c>
      <c r="H13" s="18" t="s">
        <v>9</v>
      </c>
      <c r="I13" s="19" t="s">
        <v>11</v>
      </c>
    </row>
    <row r="14" spans="1:13">
      <c r="A14" s="13" t="s">
        <v>2</v>
      </c>
      <c r="B14" s="14">
        <v>518</v>
      </c>
      <c r="C14" s="14">
        <v>1455</v>
      </c>
      <c r="D14" s="14">
        <v>3103</v>
      </c>
      <c r="E14" s="14">
        <v>6251</v>
      </c>
      <c r="F14" s="14">
        <v>7827</v>
      </c>
      <c r="G14" s="14">
        <v>7004</v>
      </c>
      <c r="H14" s="14">
        <v>6001</v>
      </c>
      <c r="I14" s="15">
        <v>32139</v>
      </c>
    </row>
    <row r="16" spans="1:13">
      <c r="A16" s="9" t="s">
        <v>10</v>
      </c>
      <c r="B16" s="10"/>
      <c r="C16" s="10"/>
      <c r="D16" s="10"/>
      <c r="E16" s="10"/>
      <c r="F16" s="10"/>
      <c r="G16" s="10"/>
      <c r="H16" s="10"/>
      <c r="I16" s="11"/>
      <c r="M16" s="1"/>
    </row>
    <row r="17" spans="1:9">
      <c r="A17" s="12" t="s">
        <v>1</v>
      </c>
      <c r="B17" s="18" t="s">
        <v>3</v>
      </c>
      <c r="C17" s="18" t="s">
        <v>4</v>
      </c>
      <c r="D17" s="18" t="s">
        <v>5</v>
      </c>
      <c r="E17" s="18" t="s">
        <v>6</v>
      </c>
      <c r="F17" s="18" t="s">
        <v>7</v>
      </c>
      <c r="G17" s="18" t="s">
        <v>8</v>
      </c>
      <c r="H17" s="18" t="s">
        <v>9</v>
      </c>
      <c r="I17" s="19" t="s">
        <v>11</v>
      </c>
    </row>
    <row r="18" spans="1:9">
      <c r="A18" s="13" t="s">
        <v>2</v>
      </c>
      <c r="B18" s="14">
        <v>978</v>
      </c>
      <c r="C18" s="14">
        <v>2376</v>
      </c>
      <c r="D18" s="14">
        <v>4759</v>
      </c>
      <c r="E18" s="14">
        <v>9402</v>
      </c>
      <c r="F18" s="14">
        <v>11604</v>
      </c>
      <c r="G18" s="14">
        <v>10870</v>
      </c>
      <c r="H18" s="14">
        <v>9588</v>
      </c>
      <c r="I18" s="15">
        <v>49577</v>
      </c>
    </row>
    <row r="19" spans="1:9">
      <c r="A19" s="21" t="s">
        <v>18</v>
      </c>
      <c r="B19" s="24">
        <f>B18/sweden_pop_2024!B4</f>
        <v>1.6072784404468825E-3</v>
      </c>
      <c r="C19" s="24">
        <f>C18/sweden_pop_2024!C4</f>
        <v>4.3325565365805625E-3</v>
      </c>
      <c r="D19" s="24">
        <f>D18/sweden_pop_2024!D4</f>
        <v>9.3830159327908703E-3</v>
      </c>
      <c r="E19" s="24">
        <f>E18/sweden_pop_2024!E4</f>
        <v>1.8682823208668577E-2</v>
      </c>
      <c r="F19" s="24">
        <f>F18/sweden_pop_2024!F4</f>
        <v>3.2770311295364882E-2</v>
      </c>
      <c r="G19" s="24">
        <f>G18/sweden_pop_2024!G4</f>
        <v>5.7508054831046942E-2</v>
      </c>
      <c r="H19" s="24">
        <f>H18/sweden_pop_2024!H4</f>
        <v>9.172661870503597E-2</v>
      </c>
    </row>
    <row r="22" spans="1:9">
      <c r="A22" t="s">
        <v>28</v>
      </c>
    </row>
  </sheetData>
  <mergeCells count="2">
    <mergeCell ref="A1:I1"/>
    <mergeCell ref="A11:I1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C437-EFC1-7D42-80A0-27B69BA3A9A1}">
  <dimension ref="A1:H7"/>
  <sheetViews>
    <sheetView zoomScale="183" workbookViewId="0">
      <selection activeCell="A7" sqref="A7"/>
    </sheetView>
  </sheetViews>
  <sheetFormatPr baseColWidth="10" defaultRowHeight="13"/>
  <cols>
    <col min="1" max="8" width="11" style="20"/>
  </cols>
  <sheetData>
    <row r="1" spans="1:8">
      <c r="A1" s="20" t="s">
        <v>14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</row>
    <row r="2" spans="1:8">
      <c r="A2" s="20" t="s">
        <v>16</v>
      </c>
      <c r="B2" s="20">
        <v>305892</v>
      </c>
      <c r="C2" s="20">
        <v>272422</v>
      </c>
      <c r="D2" s="20">
        <v>247285</v>
      </c>
      <c r="E2" s="20">
        <v>240376</v>
      </c>
      <c r="F2" s="20">
        <v>163923</v>
      </c>
      <c r="G2" s="20">
        <v>78659</v>
      </c>
      <c r="H2" s="20">
        <v>33403</v>
      </c>
    </row>
    <row r="3" spans="1:8">
      <c r="A3" s="20" t="s">
        <v>17</v>
      </c>
      <c r="B3" s="20">
        <v>302590</v>
      </c>
      <c r="C3" s="20">
        <v>275984</v>
      </c>
      <c r="D3" s="20">
        <v>259908</v>
      </c>
      <c r="E3" s="20">
        <v>262867</v>
      </c>
      <c r="F3" s="20">
        <v>190178</v>
      </c>
      <c r="G3" s="20">
        <v>110358</v>
      </c>
      <c r="H3" s="20">
        <v>71125</v>
      </c>
    </row>
    <row r="4" spans="1:8">
      <c r="A4" s="20" t="s">
        <v>15</v>
      </c>
      <c r="B4" s="20">
        <f>SUM(B2+B3)</f>
        <v>608482</v>
      </c>
      <c r="C4" s="20">
        <f t="shared" ref="C4:H4" si="0">SUM(C2+C3)</f>
        <v>548406</v>
      </c>
      <c r="D4" s="20">
        <f t="shared" si="0"/>
        <v>507193</v>
      </c>
      <c r="E4" s="20">
        <f t="shared" si="0"/>
        <v>503243</v>
      </c>
      <c r="F4" s="20">
        <f t="shared" si="0"/>
        <v>354101</v>
      </c>
      <c r="G4" s="20">
        <f t="shared" si="0"/>
        <v>189017</v>
      </c>
      <c r="H4" s="20">
        <f t="shared" si="0"/>
        <v>104528</v>
      </c>
    </row>
    <row r="7" spans="1:8">
      <c r="A7" s="2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23A3-F740-F04E-B999-AC134362C6F0}">
  <dimension ref="A1:H10"/>
  <sheetViews>
    <sheetView zoomScale="188" workbookViewId="0">
      <selection activeCell="A10" sqref="A10"/>
    </sheetView>
  </sheetViews>
  <sheetFormatPr baseColWidth="10" defaultRowHeight="13"/>
  <cols>
    <col min="1" max="1" width="40" customWidth="1"/>
  </cols>
  <sheetData>
    <row r="1" spans="1:8">
      <c r="A1" s="20" t="s">
        <v>14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</row>
    <row r="2" spans="1:8">
      <c r="A2" s="20" t="s">
        <v>16</v>
      </c>
      <c r="B2" s="20">
        <v>67788</v>
      </c>
      <c r="C2" s="20">
        <v>54706</v>
      </c>
      <c r="D2" s="20">
        <v>45255</v>
      </c>
      <c r="E2" s="20">
        <v>42538</v>
      </c>
      <c r="F2" s="20">
        <v>30001</v>
      </c>
      <c r="G2" s="20">
        <v>13663</v>
      </c>
      <c r="H2" s="20">
        <v>5844</v>
      </c>
    </row>
    <row r="3" spans="1:8">
      <c r="A3" s="20" t="s">
        <v>17</v>
      </c>
      <c r="B3" s="20">
        <v>67645</v>
      </c>
      <c r="C3" s="20">
        <v>55966</v>
      </c>
      <c r="D3" s="20">
        <v>49336</v>
      </c>
      <c r="E3" s="20">
        <v>50621</v>
      </c>
      <c r="F3" s="20">
        <v>36859</v>
      </c>
      <c r="G3" s="20">
        <v>19957</v>
      </c>
      <c r="H3" s="20">
        <v>13341</v>
      </c>
    </row>
    <row r="4" spans="1:8">
      <c r="A4" s="20" t="s">
        <v>15</v>
      </c>
      <c r="B4" s="20">
        <f>SUM(B2:B3)</f>
        <v>135433</v>
      </c>
      <c r="C4" s="20">
        <f t="shared" ref="C4:H4" si="0">SUM(C2:C3)</f>
        <v>110672</v>
      </c>
      <c r="D4" s="20">
        <f t="shared" si="0"/>
        <v>94591</v>
      </c>
      <c r="E4" s="20">
        <f t="shared" si="0"/>
        <v>93159</v>
      </c>
      <c r="F4" s="20">
        <f t="shared" si="0"/>
        <v>66860</v>
      </c>
      <c r="G4" s="20">
        <f t="shared" si="0"/>
        <v>33620</v>
      </c>
      <c r="H4" s="20">
        <f t="shared" si="0"/>
        <v>19185</v>
      </c>
    </row>
    <row r="5" spans="1:8">
      <c r="A5" s="20" t="s">
        <v>19</v>
      </c>
      <c r="B5" s="20">
        <v>645</v>
      </c>
      <c r="C5" s="20">
        <v>1608</v>
      </c>
      <c r="D5" s="20">
        <v>3297</v>
      </c>
      <c r="E5" s="20">
        <v>6588</v>
      </c>
      <c r="F5" s="20">
        <v>8161</v>
      </c>
      <c r="G5" s="20">
        <v>7193</v>
      </c>
      <c r="H5" s="20">
        <v>6200</v>
      </c>
    </row>
    <row r="6" spans="1:8">
      <c r="A6" s="20" t="s">
        <v>20</v>
      </c>
      <c r="B6">
        <f>B5/B4</f>
        <v>4.7625024920071183E-3</v>
      </c>
      <c r="C6">
        <f t="shared" ref="C6:H6" si="1">C5/C4</f>
        <v>1.4529420268902703E-2</v>
      </c>
      <c r="D6">
        <f t="shared" si="1"/>
        <v>3.4855324502331086E-2</v>
      </c>
      <c r="E6">
        <f t="shared" si="1"/>
        <v>7.0717805042991022E-2</v>
      </c>
      <c r="F6">
        <f t="shared" si="1"/>
        <v>0.12206102303320371</v>
      </c>
      <c r="G6">
        <f t="shared" si="1"/>
        <v>0.21395002974419988</v>
      </c>
      <c r="H6">
        <f t="shared" si="1"/>
        <v>0.32316914255929113</v>
      </c>
    </row>
    <row r="10" spans="1:8">
      <c r="A1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900F-67CE-2A4F-A31E-649BA9983965}">
  <dimension ref="A1:J5"/>
  <sheetViews>
    <sheetView zoomScale="184" workbookViewId="0">
      <selection activeCell="C10" sqref="C10"/>
    </sheetView>
  </sheetViews>
  <sheetFormatPr baseColWidth="10" defaultRowHeight="13"/>
  <cols>
    <col min="1" max="8" width="11" style="20"/>
  </cols>
  <sheetData>
    <row r="1" spans="1:10">
      <c r="A1" s="20" t="s">
        <v>14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</row>
    <row r="2" spans="1:10">
      <c r="A2" s="20" t="s">
        <v>15</v>
      </c>
      <c r="B2" s="23">
        <v>653231</v>
      </c>
      <c r="C2" s="23">
        <v>555433</v>
      </c>
      <c r="D2" s="23">
        <v>516276</v>
      </c>
      <c r="E2" s="23">
        <v>494876</v>
      </c>
      <c r="F2" s="23">
        <v>418928</v>
      </c>
      <c r="G2" s="23">
        <v>221907</v>
      </c>
      <c r="H2" s="23">
        <v>133492</v>
      </c>
      <c r="I2" s="22"/>
      <c r="J2" s="22"/>
    </row>
    <row r="4" spans="1:10">
      <c r="H4" s="23"/>
    </row>
    <row r="5" spans="1:10">
      <c r="A5" s="20" t="s">
        <v>29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AD92-BCE6-D74D-93AB-51114F5E13D5}">
  <dimension ref="A1:H11"/>
  <sheetViews>
    <sheetView tabSelected="1" zoomScale="200" workbookViewId="0">
      <selection activeCell="I10" sqref="I10"/>
    </sheetView>
  </sheetViews>
  <sheetFormatPr baseColWidth="10" defaultRowHeight="13"/>
  <cols>
    <col min="1" max="1" width="38.796875" style="25" customWidth="1"/>
    <col min="2" max="8" width="11" style="26"/>
  </cols>
  <sheetData>
    <row r="1" spans="1:8" ht="14">
      <c r="A1" s="25" t="s">
        <v>21</v>
      </c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6" t="s">
        <v>9</v>
      </c>
    </row>
    <row r="2" spans="1:8" ht="14">
      <c r="A2" s="25" t="s">
        <v>22</v>
      </c>
      <c r="B2" s="26">
        <v>653231</v>
      </c>
      <c r="C2" s="26">
        <v>555433</v>
      </c>
      <c r="D2" s="26">
        <v>516276</v>
      </c>
      <c r="E2" s="26">
        <v>494876</v>
      </c>
      <c r="F2" s="26">
        <v>418928</v>
      </c>
      <c r="G2" s="26">
        <v>221907</v>
      </c>
      <c r="H2" s="26">
        <v>133492</v>
      </c>
    </row>
    <row r="3" spans="1:8" ht="28">
      <c r="A3" s="25" t="s">
        <v>31</v>
      </c>
      <c r="B3" s="26">
        <f>B2/SUM($B$2:$H$2)</f>
        <v>0.21816960646168201</v>
      </c>
      <c r="C3" s="26">
        <f t="shared" ref="C3:H3" si="0">C2/SUM($B$2:$H$2)</f>
        <v>0.18550650386437789</v>
      </c>
      <c r="D3" s="26">
        <f t="shared" si="0"/>
        <v>0.17242863817793605</v>
      </c>
      <c r="E3" s="26">
        <f t="shared" si="0"/>
        <v>0.16528135095751939</v>
      </c>
      <c r="F3" s="26">
        <f t="shared" si="0"/>
        <v>0.13991582900349114</v>
      </c>
      <c r="G3" s="26">
        <f t="shared" si="0"/>
        <v>7.4113694636495323E-2</v>
      </c>
      <c r="H3" s="26">
        <f t="shared" si="0"/>
        <v>4.4584376898498167E-2</v>
      </c>
    </row>
    <row r="4" spans="1:8" ht="28">
      <c r="A4" s="25" t="s">
        <v>23</v>
      </c>
      <c r="B4" s="27">
        <v>1.6000000000000001E-3</v>
      </c>
      <c r="C4" s="27">
        <v>4.3E-3</v>
      </c>
      <c r="D4" s="27">
        <v>9.4000000000000004E-3</v>
      </c>
      <c r="E4" s="27">
        <v>1.8700000000000001E-2</v>
      </c>
      <c r="F4" s="27">
        <v>3.2800000000000003E-2</v>
      </c>
      <c r="G4" s="27">
        <v>5.7500000000000002E-2</v>
      </c>
      <c r="H4" s="27">
        <v>9.1700000000000004E-2</v>
      </c>
    </row>
    <row r="5" spans="1:8" ht="28">
      <c r="A5" s="25" t="s">
        <v>24</v>
      </c>
      <c r="B5" s="26">
        <v>0.23300000000000001</v>
      </c>
      <c r="C5" s="26">
        <v>0.23300000000000001</v>
      </c>
      <c r="D5" s="26">
        <v>0.23300000000000001</v>
      </c>
      <c r="E5" s="26">
        <v>0.34799999999999998</v>
      </c>
      <c r="F5" s="26">
        <v>0.34799999999999998</v>
      </c>
      <c r="G5" s="26">
        <v>0.34799999999999998</v>
      </c>
      <c r="H5" s="26">
        <v>0.34799999999999998</v>
      </c>
    </row>
    <row r="6" spans="1:8" ht="28">
      <c r="A6" s="25" t="s">
        <v>26</v>
      </c>
      <c r="B6" s="26">
        <v>8.0000000000000002E-3</v>
      </c>
      <c r="C6" s="26">
        <v>8.0000000000000002E-3</v>
      </c>
      <c r="D6" s="26">
        <v>8.0000000000000002E-3</v>
      </c>
      <c r="E6" s="26">
        <v>6.7000000000000004E-2</v>
      </c>
      <c r="F6" s="26">
        <v>6.7000000000000004E-2</v>
      </c>
      <c r="G6" s="26">
        <v>6.7000000000000004E-2</v>
      </c>
      <c r="H6" s="26">
        <v>6.7000000000000004E-2</v>
      </c>
    </row>
    <row r="7" spans="1:8" ht="28">
      <c r="A7" s="25" t="s">
        <v>25</v>
      </c>
      <c r="B7" s="26">
        <v>0.55000000000000004</v>
      </c>
      <c r="C7" s="26">
        <v>0.55000000000000004</v>
      </c>
      <c r="D7" s="26">
        <v>0.53200000000000003</v>
      </c>
      <c r="E7" s="26">
        <v>0.53200000000000003</v>
      </c>
      <c r="F7" s="26">
        <v>0.54900000000000004</v>
      </c>
      <c r="G7" s="26">
        <v>0.54900000000000004</v>
      </c>
      <c r="H7" s="26">
        <v>0.54900000000000004</v>
      </c>
    </row>
    <row r="8" spans="1:8" ht="28">
      <c r="A8" s="25" t="s">
        <v>27</v>
      </c>
      <c r="B8" s="26">
        <v>0.224</v>
      </c>
      <c r="C8" s="26">
        <v>0.224</v>
      </c>
      <c r="D8" s="26">
        <v>0.23499999999999999</v>
      </c>
      <c r="E8" s="26">
        <v>0.23499999999999999</v>
      </c>
      <c r="F8" s="26">
        <v>0.25700000000000001</v>
      </c>
      <c r="G8" s="26">
        <v>0.25700000000000001</v>
      </c>
      <c r="H8" s="26">
        <v>0.25700000000000001</v>
      </c>
    </row>
    <row r="9" spans="1:8" ht="14">
      <c r="A9" s="25" t="s">
        <v>33</v>
      </c>
      <c r="B9" s="26">
        <f>(1-B4)*B5+B4*B7</f>
        <v>0.2335072</v>
      </c>
      <c r="C9" s="26">
        <f t="shared" ref="C9:H9" si="1">(1-C4)*C5+C4*C7</f>
        <v>0.23436310000000002</v>
      </c>
      <c r="D9" s="26">
        <f t="shared" si="1"/>
        <v>0.23581060000000001</v>
      </c>
      <c r="E9" s="26">
        <f t="shared" si="1"/>
        <v>0.3514408</v>
      </c>
      <c r="F9" s="26">
        <f t="shared" si="1"/>
        <v>0.35459279999999999</v>
      </c>
      <c r="G9" s="26">
        <f t="shared" si="1"/>
        <v>0.35955750000000003</v>
      </c>
      <c r="H9" s="26">
        <f t="shared" si="1"/>
        <v>0.36643170000000003</v>
      </c>
    </row>
    <row r="10" spans="1:8" ht="14">
      <c r="A10" s="25" t="s">
        <v>34</v>
      </c>
      <c r="B10" s="26">
        <f>(1-B4)*B6+B4*B8</f>
        <v>8.3455999999999999E-3</v>
      </c>
      <c r="C10" s="26">
        <f t="shared" ref="C10:H10" si="2">(1-C4)*C6+C4*C8</f>
        <v>8.9288000000000006E-3</v>
      </c>
      <c r="D10" s="26">
        <f t="shared" si="2"/>
        <v>1.0133800000000002E-2</v>
      </c>
      <c r="E10" s="26">
        <f t="shared" si="2"/>
        <v>7.0141599999999998E-2</v>
      </c>
      <c r="F10" s="26">
        <f t="shared" si="2"/>
        <v>7.3231999999999992E-2</v>
      </c>
      <c r="G10" s="26">
        <f t="shared" si="2"/>
        <v>7.7925000000000008E-2</v>
      </c>
      <c r="H10" s="26">
        <f t="shared" si="2"/>
        <v>8.4422999999999998E-2</v>
      </c>
    </row>
    <row r="11" spans="1:8" ht="14">
      <c r="A11" s="25" t="s">
        <v>32</v>
      </c>
      <c r="B11" s="26">
        <f>1-SUM(B9:B10)</f>
        <v>0.75814720000000002</v>
      </c>
      <c r="C11" s="26">
        <f t="shared" ref="C11:H11" si="3">1-SUM(C9:C10)</f>
        <v>0.75670809999999999</v>
      </c>
      <c r="D11" s="26">
        <f t="shared" si="3"/>
        <v>0.75405560000000005</v>
      </c>
      <c r="E11" s="26">
        <f t="shared" si="3"/>
        <v>0.57841759999999998</v>
      </c>
      <c r="F11" s="26">
        <f t="shared" si="3"/>
        <v>0.57217519999999999</v>
      </c>
      <c r="G11" s="26">
        <f t="shared" si="3"/>
        <v>0.5625175</v>
      </c>
      <c r="H11" s="26">
        <f t="shared" si="3"/>
        <v>0.54914529999999995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geriatric_2024</vt:lpstr>
      <vt:lpstr>sweden_pop_2024</vt:lpstr>
      <vt:lpstr>val_2024</vt:lpstr>
      <vt:lpstr>sweden_pop_2026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Stålberg, Simon</dc:creator>
  <cp:lastModifiedBy>Xin Xia</cp:lastModifiedBy>
  <dcterms:created xsi:type="dcterms:W3CDTF">2023-06-02T04:10:29Z</dcterms:created>
  <dcterms:modified xsi:type="dcterms:W3CDTF">2026-03-21T07:52:53Z</dcterms:modified>
</cp:coreProperties>
</file>